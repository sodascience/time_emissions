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_overview" sheetId="1" state="visible" r:id="rId3"/>
    <sheet name="mapping_relative" sheetId="2" state="visible" r:id="rId4"/>
    <sheet name="mapping_home" sheetId="3" state="visible" r:id="rId5"/>
    <sheet name="mapping_out" sheetId="4" state="visible" r:id="rId6"/>
    <sheet name="mapping_transport" sheetId="5" state="visible" r:id="rId7"/>
    <sheet name="mapping_intercept" sheetId="6" state="visible" r:id="rId8"/>
    <sheet name="emissions" sheetId="7" state="visible" r:id="rId9"/>
  </sheets>
  <definedNames>
    <definedName function="false" hidden="true" localSheetId="1" name="ExterneGegevens_1" vbProcedure="false">mapping_relative!$A$1:$LD$157</definedName>
    <definedName function="false" hidden="true" localSheetId="6" name="ExterneGegevens_1" vbProcedure="false">emissions!$A$1:$B$158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keepAlive="1" interval="0" name="Query - carbonEmissions_households_means (2)" description="Verbinding maken met de query carbonEmissions_households_means (2) in de werkmap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carbonEmissions_households_means (2);Extended Properties=&quot;&quot;" command="SELECT * FROM [carbonEmissions_households_means (2)]"/>
    <olapPr/>
  </connection>
  <connection id="2" keepAlive="1" interval="0" name="Query - mapping_budget-TBO_relative" description="Verbinding maken met de query mapping_budget-TBO_relative in de werkmap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mapping_budget-TBO_relative;Extended Properties=&quot;&quot;" command="SELECT * FROM [mapping_budget-TBO_relative]"/>
    <olapPr/>
  </connection>
</connections>
</file>

<file path=xl/sharedStrings.xml><?xml version="1.0" encoding="utf-8"?>
<sst xmlns="http://schemas.openxmlformats.org/spreadsheetml/2006/main" count="2392" uniqueCount="774">
  <si>
    <t xml:space="preserve">Variable</t>
  </si>
  <si>
    <t xml:space="preserve">GHG Emissions (average kg CO2 / household)</t>
  </si>
  <si>
    <t xml:space="preserve">0000</t>
  </si>
  <si>
    <t xml:space="preserve">0100</t>
  </si>
  <si>
    <t xml:space="preserve">0200</t>
  </si>
  <si>
    <t xml:space="preserve">0204</t>
  </si>
  <si>
    <t xml:space="preserve">0230</t>
  </si>
  <si>
    <t xml:space="preserve">0300</t>
  </si>
  <si>
    <t xml:space="preserve">0310</t>
  </si>
  <si>
    <t xml:space="preserve">0320</t>
  </si>
  <si>
    <t xml:space="preserve">1000</t>
  </si>
  <si>
    <t xml:space="preserve">2000</t>
  </si>
  <si>
    <t xml:space="preserve">3100</t>
  </si>
  <si>
    <t xml:space="preserve">3700</t>
  </si>
  <si>
    <t xml:space="preserve">3900</t>
  </si>
  <si>
    <t xml:space="preserve">4200</t>
  </si>
  <si>
    <t xml:space="preserve">5300</t>
  </si>
  <si>
    <t xml:space="preserve">6300</t>
  </si>
  <si>
    <t xml:space="preserve">8200</t>
  </si>
  <si>
    <t xml:space="preserve">9900</t>
  </si>
  <si>
    <t xml:space="preserve">Persoonlijke verzorging, ongespecificeerd</t>
  </si>
  <si>
    <t xml:space="preserve">In bed</t>
  </si>
  <si>
    <t xml:space="preserve">Eten, ongespecificeerd</t>
  </si>
  <si>
    <t xml:space="preserve">Eten, ongespecificeerd - werk / school (kantine)</t>
  </si>
  <si>
    <t xml:space="preserve">Iets drinken, ongespecificeerd</t>
  </si>
  <si>
    <t xml:space="preserve">Overige persoonlijke verzorging, ongespecificeerd ("verzorgen")</t>
  </si>
  <si>
    <t xml:space="preserve">Wassen en aankleden, ongespecificeerd</t>
  </si>
  <si>
    <t xml:space="preserve">Medische verzorging</t>
  </si>
  <si>
    <t xml:space="preserve">Betaald werk</t>
  </si>
  <si>
    <t xml:space="preserve">Studie</t>
  </si>
  <si>
    <t xml:space="preserve">Huishouden en zorg voor gezin, ongespecificeerd</t>
  </si>
  <si>
    <t xml:space="preserve">Eten bereiden, ongespecificeerd</t>
  </si>
  <si>
    <t xml:space="preserve">Huishouden, schoonmaken, ongespecificeerd</t>
  </si>
  <si>
    <t xml:space="preserve">Kleding fabricage en onderhoud, ongespecificeerd</t>
  </si>
  <si>
    <t xml:space="preserve">Kleren wassen, was ophangen, was opbergen, wasserette, in droger</t>
  </si>
  <si>
    <t xml:space="preserve">Tuinieren en zorg voor dieren, ongespecificeerd</t>
  </si>
  <si>
    <t xml:space="preserve">Huisdieren verzorgen (poes, hamster, vis, hond) &amp; Hond uitlaten</t>
  </si>
  <si>
    <t xml:space="preserve">Doe het zelf en onderhoud, ongespecificeerd (klussen in huis)</t>
  </si>
  <si>
    <t xml:space="preserve">Onderhoud en reparatie, van vervoersmiddelen, ongespecificeerd</t>
  </si>
  <si>
    <t xml:space="preserve">Winkels en diensten, ongespecificeerd</t>
  </si>
  <si>
    <t xml:space="preserve">Boodschappen, winkelen, ongespecificeerd</t>
  </si>
  <si>
    <t xml:space="preserve">Commerciele en administratieve diensten, ongespecificeerd</t>
  </si>
  <si>
    <t xml:space="preserve">Persoonlijke diensten, ongespecificeerd</t>
  </si>
  <si>
    <t xml:space="preserve">Huishouden organisatie, ongespecificeerd</t>
  </si>
  <si>
    <t xml:space="preserve">Zorg voor kinderen, ongespecificeerd</t>
  </si>
  <si>
    <t xml:space="preserve">Voorlezen, spelen en praten met kind</t>
  </si>
  <si>
    <t xml:space="preserve">Zorg voor volwassenen ongespecificeerd</t>
  </si>
  <si>
    <t xml:space="preserve">Vrijwilligerswerk, hulp, vergaderingen en religie, ongespecificeerd</t>
  </si>
  <si>
    <t xml:space="preserve">Vrijwilligerswerk voor/in  een organisatie, ongespecificeerd</t>
  </si>
  <si>
    <t xml:space="preserve">Hulp in ander huishouden</t>
  </si>
  <si>
    <t xml:space="preserve">Participatorische activiteiten, ongespecificeerd</t>
  </si>
  <si>
    <t xml:space="preserve">Sociaal leven en vermaak, ongespecificeerd</t>
  </si>
  <si>
    <t xml:space="preserve">Sociaal leven, ongespecificeerd</t>
  </si>
  <si>
    <t xml:space="preserve">Telefoon, ongespecificeerd</t>
  </si>
  <si>
    <t xml:space="preserve">Vermaak en cultuur, ongespecificeerd</t>
  </si>
  <si>
    <t xml:space="preserve">Uitrusten</t>
  </si>
  <si>
    <t xml:space="preserve">Sport en lichaamsbeweging, ongespecificeerd</t>
  </si>
  <si>
    <t xml:space="preserve">Actieve vrijetijdsbesteding, ongespecificeerd</t>
  </si>
  <si>
    <t xml:space="preserve">Actieve productieve activiteiten, ongespecificeerd</t>
  </si>
  <si>
    <t xml:space="preserve">Sport gerelateerde activiteiten</t>
  </si>
  <si>
    <t xml:space="preserve">Hobby en computeren, ongespecificeerd</t>
  </si>
  <si>
    <t xml:space="preserve">Kunst, amateurkunst en hobbies, ongespecificeerd</t>
  </si>
  <si>
    <t xml:space="preserve">Correspondentie</t>
  </si>
  <si>
    <t xml:space="preserve">Computeren, ongespecificeerd</t>
  </si>
  <si>
    <t xml:space="preserve">Spelletjes, games, ongespecificeerd</t>
  </si>
  <si>
    <t xml:space="preserve">Computer spelen, games</t>
  </si>
  <si>
    <t xml:space="preserve">Massa media, ongespecificeerd</t>
  </si>
  <si>
    <t xml:space="preserve">Lezen, ongespecificeerd</t>
  </si>
  <si>
    <t xml:space="preserve">Audiovisueel media, ongespecificeerd</t>
  </si>
  <si>
    <t xml:space="preserve">Overig</t>
  </si>
  <si>
    <t xml:space="preserve">BOBEST011100H</t>
  </si>
  <si>
    <t xml:space="preserve">Brood en granen</t>
  </si>
  <si>
    <t xml:space="preserve">BOBEST011110H</t>
  </si>
  <si>
    <t xml:space="preserve">Rijst</t>
  </si>
  <si>
    <t xml:space="preserve">BOBEST011170H</t>
  </si>
  <si>
    <t xml:space="preserve">Ontbijtgranen</t>
  </si>
  <si>
    <t xml:space="preserve">BOBEST011200H</t>
  </si>
  <si>
    <t xml:space="preserve">Vlees</t>
  </si>
  <si>
    <t xml:space="preserve">BOBEST011210H</t>
  </si>
  <si>
    <t xml:space="preserve">Rund- en kalfsvlees</t>
  </si>
  <si>
    <t xml:space="preserve">BOBEST011220H</t>
  </si>
  <si>
    <t xml:space="preserve">Varkensvlees</t>
  </si>
  <si>
    <t xml:space="preserve">BOBEST011240H</t>
  </si>
  <si>
    <t xml:space="preserve">Pluimveevlees</t>
  </si>
  <si>
    <t xml:space="preserve">BOBEST011300H</t>
  </si>
  <si>
    <t xml:space="preserve">Vis en schaal- en schelpdieren</t>
  </si>
  <si>
    <t xml:space="preserve">BOBEST011400H</t>
  </si>
  <si>
    <t xml:space="preserve">Melk, kaas en eieren</t>
  </si>
  <si>
    <t xml:space="preserve">BOBEST011410H</t>
  </si>
  <si>
    <t xml:space="preserve">Verse volle melk</t>
  </si>
  <si>
    <t xml:space="preserve">BOBEST011420H</t>
  </si>
  <si>
    <t xml:space="preserve">Verse halfvolle en magere melk</t>
  </si>
  <si>
    <t xml:space="preserve">BOBEST011430H</t>
  </si>
  <si>
    <t xml:space="preserve">Houdbare melk</t>
  </si>
  <si>
    <t xml:space="preserve">BOBEST011500H</t>
  </si>
  <si>
    <t xml:space="preserve">Oliën en vetten</t>
  </si>
  <si>
    <t xml:space="preserve">BOBEST011600H</t>
  </si>
  <si>
    <t xml:space="preserve">Fruit</t>
  </si>
  <si>
    <t xml:space="preserve">BOBEST011700H</t>
  </si>
  <si>
    <t xml:space="preserve">Groenten</t>
  </si>
  <si>
    <t xml:space="preserve">BOBEST011800H</t>
  </si>
  <si>
    <t xml:space="preserve">Suiker, zoetwaren en ijs</t>
  </si>
  <si>
    <t xml:space="preserve">BOBEST011900H</t>
  </si>
  <si>
    <t xml:space="preserve">Voedingsmiddelen niet elders genoemd</t>
  </si>
  <si>
    <t xml:space="preserve">BOBEST012110H</t>
  </si>
  <si>
    <t xml:space="preserve">Koffie</t>
  </si>
  <si>
    <t xml:space="preserve">BOBEST012120H</t>
  </si>
  <si>
    <t xml:space="preserve">Thee</t>
  </si>
  <si>
    <t xml:space="preserve">BOBEST012130H</t>
  </si>
  <si>
    <t xml:space="preserve">Cacao en chocolade in poedervorm</t>
  </si>
  <si>
    <t xml:space="preserve">BOBEST012210H</t>
  </si>
  <si>
    <t xml:space="preserve">Mineraalwater of bronwater</t>
  </si>
  <si>
    <t xml:space="preserve">BOBEST012220H</t>
  </si>
  <si>
    <t xml:space="preserve">Frisdranken</t>
  </si>
  <si>
    <t xml:space="preserve">BOBEST012230H</t>
  </si>
  <si>
    <t xml:space="preserve">Vruchten- en groentesappen</t>
  </si>
  <si>
    <t xml:space="preserve">BOBEST021100H</t>
  </si>
  <si>
    <t xml:space="preserve">Gedistilleerde dranken</t>
  </si>
  <si>
    <t xml:space="preserve">BOBEST021200H</t>
  </si>
  <si>
    <t xml:space="preserve">Wijn</t>
  </si>
  <si>
    <t xml:space="preserve">BOBEST021300H</t>
  </si>
  <si>
    <t xml:space="preserve">Bier</t>
  </si>
  <si>
    <t xml:space="preserve">BOBEST022000H</t>
  </si>
  <si>
    <t xml:space="preserve">Tabak</t>
  </si>
  <si>
    <t xml:space="preserve">BOBEST023000H</t>
  </si>
  <si>
    <t xml:space="preserve">Verdovende middelen</t>
  </si>
  <si>
    <t xml:space="preserve">BOBEST031100H</t>
  </si>
  <si>
    <t xml:space="preserve">Kledingstoffen</t>
  </si>
  <si>
    <t xml:space="preserve">BOBEST031200H</t>
  </si>
  <si>
    <t xml:space="preserve">Kleding</t>
  </si>
  <si>
    <t xml:space="preserve">BOBEST031300H</t>
  </si>
  <si>
    <t xml:space="preserve">Overige kledingartikelen en toebehoren</t>
  </si>
  <si>
    <t xml:space="preserve">BOBEST031400H</t>
  </si>
  <si>
    <t xml:space="preserve">Stomen en reparatie van kleding</t>
  </si>
  <si>
    <t xml:space="preserve">BOBEST032100H</t>
  </si>
  <si>
    <t xml:space="preserve">Schoenen en ander schoeisel</t>
  </si>
  <si>
    <t xml:space="preserve">BOBEST032200H</t>
  </si>
  <si>
    <t xml:space="preserve">Reparatie en verhuur van schoenen</t>
  </si>
  <si>
    <t xml:space="preserve">BOBEST041100H</t>
  </si>
  <si>
    <t xml:space="preserve">Werkelijke woninghuur betaald door huurders</t>
  </si>
  <si>
    <t xml:space="preserve">BOBEST041200H</t>
  </si>
  <si>
    <t xml:space="preserve">Overige werkelijke woninghuur</t>
  </si>
  <si>
    <t xml:space="preserve">BOBEST042100H</t>
  </si>
  <si>
    <t xml:space="preserve">Toegerekende huur eigen woning</t>
  </si>
  <si>
    <t xml:space="preserve">BOBEST042200H</t>
  </si>
  <si>
    <t xml:space="preserve">Overige toegerekende huur</t>
  </si>
  <si>
    <t xml:space="preserve">BOBEST043100H</t>
  </si>
  <si>
    <t xml:space="preserve">Onderhoudsmaterialen voor de woning</t>
  </si>
  <si>
    <t xml:space="preserve">BOBEST043200H</t>
  </si>
  <si>
    <t xml:space="preserve">Onderhoudsdiensten voor de woning</t>
  </si>
  <si>
    <t xml:space="preserve">BOBEST044100H</t>
  </si>
  <si>
    <t xml:space="preserve">Watervoorziening</t>
  </si>
  <si>
    <t xml:space="preserve">BOBEST044200H</t>
  </si>
  <si>
    <t xml:space="preserve">Ophalen van huisvuil</t>
  </si>
  <si>
    <t xml:space="preserve">BOBEST044300H</t>
  </si>
  <si>
    <t xml:space="preserve">Riolering</t>
  </si>
  <si>
    <t xml:space="preserve">BOBEST044400H</t>
  </si>
  <si>
    <t xml:space="preserve">Overige kosten van woningvoorziening</t>
  </si>
  <si>
    <t xml:space="preserve">BOBEST045100H</t>
  </si>
  <si>
    <t xml:space="preserve">Elektriciteit</t>
  </si>
  <si>
    <t xml:space="preserve">BOBEST045200H</t>
  </si>
  <si>
    <t xml:space="preserve">Gas</t>
  </si>
  <si>
    <t xml:space="preserve">BOBEST045300H</t>
  </si>
  <si>
    <t xml:space="preserve">Vloeibare brandstoffen</t>
  </si>
  <si>
    <t xml:space="preserve">BOBEST045400H</t>
  </si>
  <si>
    <t xml:space="preserve">Vaste brandstoffen</t>
  </si>
  <si>
    <t xml:space="preserve">BOBEST051100H</t>
  </si>
  <si>
    <t xml:space="preserve">Meubelen, stoffering en decoratie</t>
  </si>
  <si>
    <t xml:space="preserve">BOBEST051200H</t>
  </si>
  <si>
    <t xml:space="preserve">Vloerbedekking</t>
  </si>
  <si>
    <t xml:space="preserve">BOBEST051230H</t>
  </si>
  <si>
    <t xml:space="preserve">Diensten voor het leggen van vloerbedekking</t>
  </si>
  <si>
    <t xml:space="preserve">BOBEST051300H</t>
  </si>
  <si>
    <t xml:space="preserve">Reparatie van meubelen en dergelijke</t>
  </si>
  <si>
    <t xml:space="preserve">BOBEST052000H</t>
  </si>
  <si>
    <t xml:space="preserve">Huishoudtextiel</t>
  </si>
  <si>
    <t xml:space="preserve">BOBEST052040H</t>
  </si>
  <si>
    <t xml:space="preserve">Reparatie van huishoudtextiel</t>
  </si>
  <si>
    <t xml:space="preserve">BOBEST053100H</t>
  </si>
  <si>
    <t xml:space="preserve">Grote huishoudelijke apparaten</t>
  </si>
  <si>
    <t xml:space="preserve">BOBEST053200H</t>
  </si>
  <si>
    <t xml:space="preserve">Kleine elektrische huishoudelijke apparaten</t>
  </si>
  <si>
    <t xml:space="preserve">BOBEST053300H</t>
  </si>
  <si>
    <t xml:space="preserve">Reparatie van huishoudelijke apparaten</t>
  </si>
  <si>
    <t xml:space="preserve">BOBEST054000H</t>
  </si>
  <si>
    <t xml:space="preserve">Glas, servies en huishoudelijke artikelen</t>
  </si>
  <si>
    <t xml:space="preserve">BOBEST055100H</t>
  </si>
  <si>
    <t xml:space="preserve">Grote gereedschappen</t>
  </si>
  <si>
    <t xml:space="preserve">BOBEST055200H</t>
  </si>
  <si>
    <t xml:space="preserve">Kleine gereedschappen</t>
  </si>
  <si>
    <t xml:space="preserve">BOBEST055230H</t>
  </si>
  <si>
    <t xml:space="preserve">Reparatie van kleine handgereedschappen en toebehoren</t>
  </si>
  <si>
    <t xml:space="preserve">BOBEST056100H</t>
  </si>
  <si>
    <t xml:space="preserve">Niet-duurzame huishoudproducten</t>
  </si>
  <si>
    <t xml:space="preserve">BOBEST056200H</t>
  </si>
  <si>
    <t xml:space="preserve">Huishoudelijke diensten</t>
  </si>
  <si>
    <t xml:space="preserve">BOBEST056230H</t>
  </si>
  <si>
    <t xml:space="preserve">Huur van meubelen en stoffering</t>
  </si>
  <si>
    <t xml:space="preserve">BOBEST061100H</t>
  </si>
  <si>
    <t xml:space="preserve">Farmaceutische producten</t>
  </si>
  <si>
    <t xml:space="preserve">BOBEST061200H</t>
  </si>
  <si>
    <t xml:space="preserve">Overige medische producten</t>
  </si>
  <si>
    <t xml:space="preserve">BOBEST061300H</t>
  </si>
  <si>
    <t xml:space="preserve">Therapeutische apparaten</t>
  </si>
  <si>
    <t xml:space="preserve">BOBEST061330H</t>
  </si>
  <si>
    <t xml:space="preserve">Reparatie van therapeutische apparaten</t>
  </si>
  <si>
    <t xml:space="preserve">BOBEST062100H</t>
  </si>
  <si>
    <t xml:space="preserve">Diensten van artsen en paramedici</t>
  </si>
  <si>
    <t xml:space="preserve">BOBEST062200H</t>
  </si>
  <si>
    <t xml:space="preserve">Diensten van tandartsen</t>
  </si>
  <si>
    <t xml:space="preserve">BOBEST062300H</t>
  </si>
  <si>
    <t xml:space="preserve">Diensten van paramedici</t>
  </si>
  <si>
    <t xml:space="preserve">BOBEST062310H</t>
  </si>
  <si>
    <t xml:space="preserve">Diensten van medische-analyselaboratoria en doorlichtingscentra</t>
  </si>
  <si>
    <t xml:space="preserve">BOBEST063000H</t>
  </si>
  <si>
    <t xml:space="preserve">Diensten van ziekenhuizen</t>
  </si>
  <si>
    <t xml:space="preserve">BOBEST071100H</t>
  </si>
  <si>
    <t xml:space="preserve">Auto's</t>
  </si>
  <si>
    <t xml:space="preserve">BOBEST071200H</t>
  </si>
  <si>
    <t xml:space="preserve">Motoren, brom- en elektrische fietsen</t>
  </si>
  <si>
    <t xml:space="preserve">BOBEST071300H</t>
  </si>
  <si>
    <t xml:space="preserve">Fietsen</t>
  </si>
  <si>
    <t xml:space="preserve">BOBEST071400H</t>
  </si>
  <si>
    <t xml:space="preserve">Door dieren getrokken voertuigen</t>
  </si>
  <si>
    <t xml:space="preserve">BOBEST072100H</t>
  </si>
  <si>
    <t xml:space="preserve">Benodigdheden privé-voertuigen</t>
  </si>
  <si>
    <t xml:space="preserve">BOBEST072200H</t>
  </si>
  <si>
    <t xml:space="preserve">Brandstoffen en smeermiddelen</t>
  </si>
  <si>
    <t xml:space="preserve">BOBEST072300H</t>
  </si>
  <si>
    <t xml:space="preserve">Onderhoud en reparatie privé-voertuigen</t>
  </si>
  <si>
    <t xml:space="preserve">BOBEST072400H</t>
  </si>
  <si>
    <t xml:space="preserve">Overige diensten privé-voertuigen</t>
  </si>
  <si>
    <t xml:space="preserve">BOBEST073100H</t>
  </si>
  <si>
    <t xml:space="preserve">Personenvervoer per spoor</t>
  </si>
  <si>
    <t xml:space="preserve">BOBEST073200H</t>
  </si>
  <si>
    <t xml:space="preserve">Personenvervoer over de weg</t>
  </si>
  <si>
    <t xml:space="preserve">BOBEST073300H</t>
  </si>
  <si>
    <t xml:space="preserve">Personenvervoer door de lucht</t>
  </si>
  <si>
    <t xml:space="preserve">BOBEST073400H</t>
  </si>
  <si>
    <t xml:space="preserve">Personenvervoer over water</t>
  </si>
  <si>
    <t xml:space="preserve">BOBEST073500H</t>
  </si>
  <si>
    <t xml:space="preserve">Gecombineerd personenvervoer</t>
  </si>
  <si>
    <t xml:space="preserve">BOBEST073600H</t>
  </si>
  <si>
    <t xml:space="preserve">Overige aankopen van vervoersdiensten</t>
  </si>
  <si>
    <t xml:space="preserve">BOBEST081000H</t>
  </si>
  <si>
    <t xml:space="preserve">Post- en pakketdiensten</t>
  </si>
  <si>
    <t xml:space="preserve">BOBEST082010H</t>
  </si>
  <si>
    <t xml:space="preserve">Vaste telefoontoestellen</t>
  </si>
  <si>
    <t xml:space="preserve">BOBEST082020H</t>
  </si>
  <si>
    <t xml:space="preserve">Mobiele telefoons</t>
  </si>
  <si>
    <t xml:space="preserve">BOBEST082030H</t>
  </si>
  <si>
    <t xml:space="preserve">Overige telefoonapparatuur</t>
  </si>
  <si>
    <t xml:space="preserve">BOBEST083010H</t>
  </si>
  <si>
    <t xml:space="preserve">Vaste telefoondiensten</t>
  </si>
  <si>
    <t xml:space="preserve">BOBEST083020H</t>
  </si>
  <si>
    <t xml:space="preserve">Mobiele telefoondiensten</t>
  </si>
  <si>
    <t xml:space="preserve">BOBEST083030H</t>
  </si>
  <si>
    <t xml:space="preserve">Verlenen van toegang tot internet</t>
  </si>
  <si>
    <t xml:space="preserve">BOBEST083040H</t>
  </si>
  <si>
    <t xml:space="preserve">Gebundelde communicatiediensten</t>
  </si>
  <si>
    <t xml:space="preserve">BOBEST083050H</t>
  </si>
  <si>
    <t xml:space="preserve">Overige diensten voor de transmissie van informatie</t>
  </si>
  <si>
    <t xml:space="preserve">BOBEST091100H</t>
  </si>
  <si>
    <t xml:space="preserve">TV, audio- en video-apparatuur</t>
  </si>
  <si>
    <t xml:space="preserve">BOBEST091200H</t>
  </si>
  <si>
    <t xml:space="preserve">Foto-, film- en optische apparatuur</t>
  </si>
  <si>
    <t xml:space="preserve">BOBEST091300H</t>
  </si>
  <si>
    <t xml:space="preserve">Gegevensverwerkende apparatuur</t>
  </si>
  <si>
    <t xml:space="preserve">BOBEST091330H</t>
  </si>
  <si>
    <t xml:space="preserve">Software</t>
  </si>
  <si>
    <t xml:space="preserve">BOBEST091400H</t>
  </si>
  <si>
    <t xml:space="preserve">(On)bespeelde informatiedragers</t>
  </si>
  <si>
    <t xml:space="preserve">BOBEST091410H</t>
  </si>
  <si>
    <t xml:space="preserve">Voorbespeelde informatiedragers</t>
  </si>
  <si>
    <t xml:space="preserve">BOBEST091420H</t>
  </si>
  <si>
    <t xml:space="preserve">Onbespeelde informatiedragers</t>
  </si>
  <si>
    <t xml:space="preserve">BOBEST091500H</t>
  </si>
  <si>
    <t xml:space="preserve">Reparatie van audio apparaten en dergelijke</t>
  </si>
  <si>
    <t xml:space="preserve">BOBEST092100H</t>
  </si>
  <si>
    <t xml:space="preserve">Goederen voor outdoor-recreatie</t>
  </si>
  <si>
    <t xml:space="preserve">BOBEST092200H</t>
  </si>
  <si>
    <t xml:space="preserve">Goederen voor indoor-recreatie</t>
  </si>
  <si>
    <t xml:space="preserve">BOBEST092210H</t>
  </si>
  <si>
    <t xml:space="preserve">Muziekinstrumenten</t>
  </si>
  <si>
    <t xml:space="preserve">BOBEST092300H</t>
  </si>
  <si>
    <t xml:space="preserve">Onderhoud grote duurzame goederen</t>
  </si>
  <si>
    <t xml:space="preserve">BOBEST093100H</t>
  </si>
  <si>
    <t xml:space="preserve">Spellen, speelgoed en hobby's</t>
  </si>
  <si>
    <t xml:space="preserve">BOBEST093200H</t>
  </si>
  <si>
    <t xml:space="preserve">Sport- en kampeerartikelen</t>
  </si>
  <si>
    <t xml:space="preserve">BOBEST093230H</t>
  </si>
  <si>
    <t xml:space="preserve">Reparatie van sport- en kampeerartikelen</t>
  </si>
  <si>
    <t xml:space="preserve">BOBEST093300H</t>
  </si>
  <si>
    <t xml:space="preserve">Tuinen, planten en bloemen</t>
  </si>
  <si>
    <t xml:space="preserve">BOBEST093400H</t>
  </si>
  <si>
    <t xml:space="preserve">(Producten voor) huisdieren</t>
  </si>
  <si>
    <t xml:space="preserve">BOBEST093500H</t>
  </si>
  <si>
    <t xml:space="preserve">Diensten voor huisdieren</t>
  </si>
  <si>
    <t xml:space="preserve">BOBEST094100H</t>
  </si>
  <si>
    <t xml:space="preserve">Diensten voor recreatie en sport</t>
  </si>
  <si>
    <t xml:space="preserve">BOBEST094200H</t>
  </si>
  <si>
    <t xml:space="preserve">Culturele diensten</t>
  </si>
  <si>
    <t xml:space="preserve">BOBEST094210H</t>
  </si>
  <si>
    <t xml:space="preserve">Bioscopen, theaters en concerten</t>
  </si>
  <si>
    <t xml:space="preserve">BOBEST094220H</t>
  </si>
  <si>
    <t xml:space="preserve">Musea, bibliotheken, dierentuinen</t>
  </si>
  <si>
    <t xml:space="preserve">BOBEST094250H</t>
  </si>
  <si>
    <t xml:space="preserve">Fotografische diensten</t>
  </si>
  <si>
    <t xml:space="preserve">BOBEST094300H</t>
  </si>
  <si>
    <t xml:space="preserve">Kansspelen</t>
  </si>
  <si>
    <t xml:space="preserve">BOBEST095100H</t>
  </si>
  <si>
    <t xml:space="preserve">Boeken</t>
  </si>
  <si>
    <t xml:space="preserve">BOBEST095200H</t>
  </si>
  <si>
    <t xml:space="preserve">Kranten en tijdschriften</t>
  </si>
  <si>
    <t xml:space="preserve">BOBEST095300H</t>
  </si>
  <si>
    <t xml:space="preserve">Divers drukwerk</t>
  </si>
  <si>
    <t xml:space="preserve">BOBEST095400H</t>
  </si>
  <si>
    <t xml:space="preserve">Schrijfwaren en tekenartikelen</t>
  </si>
  <si>
    <t xml:space="preserve">BOBEST096000H</t>
  </si>
  <si>
    <t xml:space="preserve">Pakketreizen</t>
  </si>
  <si>
    <t xml:space="preserve">BOBEST101000H</t>
  </si>
  <si>
    <t xml:space="preserve">Kleuter- en primair onderwijs</t>
  </si>
  <si>
    <t xml:space="preserve">BOBEST102000H</t>
  </si>
  <si>
    <t xml:space="preserve">Secundair onderwijs</t>
  </si>
  <si>
    <t xml:space="preserve">BOBEST103000H</t>
  </si>
  <si>
    <t xml:space="preserve">Postsecundair niet-tertiair onderwijs</t>
  </si>
  <si>
    <t xml:space="preserve">BOBEST104000H</t>
  </si>
  <si>
    <t xml:space="preserve">Tertiair onderwijs</t>
  </si>
  <si>
    <t xml:space="preserve">BOBEST105000H</t>
  </si>
  <si>
    <t xml:space="preserve">Ander onderwijs</t>
  </si>
  <si>
    <t xml:space="preserve">BOBEST111100H</t>
  </si>
  <si>
    <t xml:space="preserve">Restaurants, cafés en dergelijke</t>
  </si>
  <si>
    <t xml:space="preserve">BOBEST111200H</t>
  </si>
  <si>
    <t xml:space="preserve">Kantines</t>
  </si>
  <si>
    <t xml:space="preserve">BOBEST112000H</t>
  </si>
  <si>
    <t xml:space="preserve">Accommodaties</t>
  </si>
  <si>
    <t xml:space="preserve">BOBEST121100H</t>
  </si>
  <si>
    <t xml:space="preserve">Kappers en schoonheidssalons</t>
  </si>
  <si>
    <t xml:space="preserve">BOBEST121200H</t>
  </si>
  <si>
    <t xml:space="preserve">Elektrische toestellen voor lichaamsverzorging en reparatie</t>
  </si>
  <si>
    <t xml:space="preserve">BOBEST121300H</t>
  </si>
  <si>
    <t xml:space="preserve">Overige producten voor lichaamsverzorging</t>
  </si>
  <si>
    <t xml:space="preserve">BOBEST122000H</t>
  </si>
  <si>
    <t xml:space="preserve">Prostitutie</t>
  </si>
  <si>
    <t xml:space="preserve">BOBEST123100H</t>
  </si>
  <si>
    <t xml:space="preserve">Sieraden, klokken en horloges</t>
  </si>
  <si>
    <t xml:space="preserve">BOBEST123200H</t>
  </si>
  <si>
    <t xml:space="preserve">Overige artikelen voor persoonlijk gebruik</t>
  </si>
  <si>
    <t xml:space="preserve">BOBEST124000H</t>
  </si>
  <si>
    <t xml:space="preserve">Sociale bescherming</t>
  </si>
  <si>
    <t xml:space="preserve">BOBEST125200H</t>
  </si>
  <si>
    <t xml:space="preserve">Verzekeringen in verband met de woning</t>
  </si>
  <si>
    <t xml:space="preserve">BOBEST125300H</t>
  </si>
  <si>
    <t xml:space="preserve">Verzekeringen in verband met ziekte</t>
  </si>
  <si>
    <t xml:space="preserve">BOBEST125400H</t>
  </si>
  <si>
    <t xml:space="preserve">Verzekeringen in verband met vervoer</t>
  </si>
  <si>
    <t xml:space="preserve">BOBEST125500H</t>
  </si>
  <si>
    <t xml:space="preserve">Overige verzekeringen</t>
  </si>
  <si>
    <t xml:space="preserve">BOBEST126100H</t>
  </si>
  <si>
    <t xml:space="preserve">Indirect gemeten diensten van financiële intermediairs</t>
  </si>
  <si>
    <t xml:space="preserve">BOBEST126200H</t>
  </si>
  <si>
    <t xml:space="preserve">Overige financiële diensten</t>
  </si>
  <si>
    <t xml:space="preserve">BOBEST127010H</t>
  </si>
  <si>
    <t xml:space="preserve">Administratieve kosten</t>
  </si>
  <si>
    <t xml:space="preserve">BOBEST127020H</t>
  </si>
  <si>
    <t xml:space="preserve">Juridische diensten en accountancy</t>
  </si>
  <si>
    <t xml:space="preserve">BOBEST127030H</t>
  </si>
  <si>
    <t xml:space="preserve">Diensten in verband met uitvaart</t>
  </si>
  <si>
    <t xml:space="preserve">BOBEST127040H</t>
  </si>
  <si>
    <t xml:space="preserve">Overige betalingen en diensten</t>
  </si>
  <si>
    <t xml:space="preserve">BOBEST131000H</t>
  </si>
  <si>
    <t xml:space="preserve">Zuiveringsheffing</t>
  </si>
  <si>
    <t xml:space="preserve">BOBEST132000H</t>
  </si>
  <si>
    <t xml:space="preserve">Motorrijtuigenbelasting</t>
  </si>
  <si>
    <t xml:space="preserve">BOBEST133000H</t>
  </si>
  <si>
    <t xml:space="preserve">Hondenbelasting</t>
  </si>
  <si>
    <t xml:space="preserve">BOBEST150010H</t>
  </si>
  <si>
    <t xml:space="preserve">Eenmalige collectes en donaties</t>
  </si>
  <si>
    <t xml:space="preserve">BOBEST150020H</t>
  </si>
  <si>
    <t xml:space="preserve">Periodieke donaties</t>
  </si>
  <si>
    <t xml:space="preserve">BOBEST300000H</t>
  </si>
  <si>
    <t xml:space="preserve">Uitgaven aan groot onderhoud</t>
  </si>
  <si>
    <t xml:space="preserve">Column1</t>
  </si>
  <si>
    <t xml:space="preserve">activity_11_0</t>
  </si>
  <si>
    <t xml:space="preserve">activity_11_110</t>
  </si>
  <si>
    <t xml:space="preserve">activity_11_120</t>
  </si>
  <si>
    <t xml:space="preserve">activity_11_130</t>
  </si>
  <si>
    <t xml:space="preserve">activity_11_190</t>
  </si>
  <si>
    <t xml:space="preserve">activity_11_200</t>
  </si>
  <si>
    <t xml:space="preserve">activity_11_210</t>
  </si>
  <si>
    <t xml:space="preserve">activity_11_220</t>
  </si>
  <si>
    <t xml:space="preserve">activity_11_230</t>
  </si>
  <si>
    <t xml:space="preserve">activity_11_290</t>
  </si>
  <si>
    <t xml:space="preserve">activity_11_300</t>
  </si>
  <si>
    <t xml:space="preserve">activity_11_310</t>
  </si>
  <si>
    <t xml:space="preserve">activity_11_320</t>
  </si>
  <si>
    <t xml:space="preserve">activity_11_330</t>
  </si>
  <si>
    <t xml:space="preserve">activity_11_390</t>
  </si>
  <si>
    <t xml:space="preserve">activity_11_3000</t>
  </si>
  <si>
    <t xml:space="preserve">activity_11_3110</t>
  </si>
  <si>
    <t xml:space="preserve">activity_11_3120</t>
  </si>
  <si>
    <t xml:space="preserve">activity_11_3130</t>
  </si>
  <si>
    <t xml:space="preserve">activity_11_3140</t>
  </si>
  <si>
    <t xml:space="preserve">activity_11_3190</t>
  </si>
  <si>
    <t xml:space="preserve">activity_11_3200</t>
  </si>
  <si>
    <t xml:space="preserve">activity_11_3210</t>
  </si>
  <si>
    <t xml:space="preserve">activity_11_3220</t>
  </si>
  <si>
    <t xml:space="preserve">activity_11_3230</t>
  </si>
  <si>
    <t xml:space="preserve">activity_11_3240</t>
  </si>
  <si>
    <t xml:space="preserve">activity_11_3290</t>
  </si>
  <si>
    <t xml:space="preserve">activity_11_3300</t>
  </si>
  <si>
    <t xml:space="preserve">activity_11_3310</t>
  </si>
  <si>
    <t xml:space="preserve">activity_11_3320</t>
  </si>
  <si>
    <t xml:space="preserve">activity_11_3330</t>
  </si>
  <si>
    <t xml:space="preserve">activity_11_3390</t>
  </si>
  <si>
    <t xml:space="preserve">activity_11_3400</t>
  </si>
  <si>
    <t xml:space="preserve">activity_11_3410</t>
  </si>
  <si>
    <t xml:space="preserve">activity_11_3420</t>
  </si>
  <si>
    <t xml:space="preserve">activity_11_3430</t>
  </si>
  <si>
    <t xml:space="preserve">activity_11_3440</t>
  </si>
  <si>
    <t xml:space="preserve">activity_11_3490</t>
  </si>
  <si>
    <t xml:space="preserve">activity_11_3500</t>
  </si>
  <si>
    <t xml:space="preserve">activity_11_3510</t>
  </si>
  <si>
    <t xml:space="preserve">activity_11_3520</t>
  </si>
  <si>
    <t xml:space="preserve">activity_11_3530</t>
  </si>
  <si>
    <t xml:space="preserve">activity_11_3540</t>
  </si>
  <si>
    <t xml:space="preserve">activity_11_3590</t>
  </si>
  <si>
    <t xml:space="preserve">activity_11_3600</t>
  </si>
  <si>
    <t xml:space="preserve">activity_11_3610</t>
  </si>
  <si>
    <t xml:space="preserve">activity_11_3620</t>
  </si>
  <si>
    <t xml:space="preserve">activity_11_3630</t>
  </si>
  <si>
    <t xml:space="preserve">activity_11_3690</t>
  </si>
  <si>
    <t xml:space="preserve">activity_11_3710</t>
  </si>
  <si>
    <t xml:space="preserve">activity_11_3800</t>
  </si>
  <si>
    <t xml:space="preserve">activity_11_3810</t>
  </si>
  <si>
    <t xml:space="preserve">activity_11_3820</t>
  </si>
  <si>
    <t xml:space="preserve">activity_11_3830</t>
  </si>
  <si>
    <t xml:space="preserve">activity_11_3840</t>
  </si>
  <si>
    <t xml:space="preserve">activity_11_3890</t>
  </si>
  <si>
    <t xml:space="preserve">activity_11_3910</t>
  </si>
  <si>
    <t xml:space="preserve">activity_11_3920</t>
  </si>
  <si>
    <t xml:space="preserve">activity_11_3990</t>
  </si>
  <si>
    <t xml:space="preserve">activity_11_4000</t>
  </si>
  <si>
    <t xml:space="preserve">activity_11_4100</t>
  </si>
  <si>
    <t xml:space="preserve">activity_11_4110</t>
  </si>
  <si>
    <t xml:space="preserve">activity_11_4120</t>
  </si>
  <si>
    <t xml:space="preserve">activity_11_4210</t>
  </si>
  <si>
    <t xml:space="preserve">activity_11_4220</t>
  </si>
  <si>
    <t xml:space="preserve">activity_11_4230</t>
  </si>
  <si>
    <t xml:space="preserve">activity_11_4240</t>
  </si>
  <si>
    <t xml:space="preserve">activity_11_4250</t>
  </si>
  <si>
    <t xml:space="preserve">activity_11_4290</t>
  </si>
  <si>
    <t xml:space="preserve">activity_11_4300</t>
  </si>
  <si>
    <t xml:space="preserve">activity_11_4310</t>
  </si>
  <si>
    <t xml:space="preserve">activity_11_4320</t>
  </si>
  <si>
    <t xml:space="preserve">activity_11_4390</t>
  </si>
  <si>
    <t xml:space="preserve">activity_11_5000</t>
  </si>
  <si>
    <t xml:space="preserve">activity_11_5100</t>
  </si>
  <si>
    <t xml:space="preserve">activity_11_5110</t>
  </si>
  <si>
    <t xml:space="preserve">activity_11_5120</t>
  </si>
  <si>
    <t xml:space="preserve">activity_11_5130</t>
  </si>
  <si>
    <t xml:space="preserve">activity_11_5140</t>
  </si>
  <si>
    <t xml:space="preserve">activity_11_5190</t>
  </si>
  <si>
    <t xml:space="preserve">activity_11_5200</t>
  </si>
  <si>
    <t xml:space="preserve">activity_11_5210</t>
  </si>
  <si>
    <t xml:space="preserve">activity_11_5220</t>
  </si>
  <si>
    <t xml:space="preserve">activity_11_5230</t>
  </si>
  <si>
    <t xml:space="preserve">activity_11_5240</t>
  </si>
  <si>
    <t xml:space="preserve">activity_11_5250</t>
  </si>
  <si>
    <t xml:space="preserve">activity_11_5260</t>
  </si>
  <si>
    <t xml:space="preserve">activity_11_5290</t>
  </si>
  <si>
    <t xml:space="preserve">activity_11_5310</t>
  </si>
  <si>
    <t xml:space="preserve">activity_11_6000</t>
  </si>
  <si>
    <t xml:space="preserve">activity_11_6100</t>
  </si>
  <si>
    <t xml:space="preserve">activity_11_6110</t>
  </si>
  <si>
    <t xml:space="preserve">activity_11_6120</t>
  </si>
  <si>
    <t xml:space="preserve">activity_11_6130</t>
  </si>
  <si>
    <t xml:space="preserve">activity_11_6140</t>
  </si>
  <si>
    <t xml:space="preserve">activity_11_6150</t>
  </si>
  <si>
    <t xml:space="preserve">activity_11_6160</t>
  </si>
  <si>
    <t xml:space="preserve">activity_11_6190</t>
  </si>
  <si>
    <t xml:space="preserve">activity_11_6200</t>
  </si>
  <si>
    <t xml:space="preserve">activity_11_6210</t>
  </si>
  <si>
    <t xml:space="preserve">activity_11_6220</t>
  </si>
  <si>
    <t xml:space="preserve">activity_11_6290</t>
  </si>
  <si>
    <t xml:space="preserve">activity_11_6310</t>
  </si>
  <si>
    <t xml:space="preserve">activity_11_7000</t>
  </si>
  <si>
    <t xml:space="preserve">activity_11_7100</t>
  </si>
  <si>
    <t xml:space="preserve">activity_11_7110</t>
  </si>
  <si>
    <t xml:space="preserve">activity_11_7120</t>
  </si>
  <si>
    <t xml:space="preserve">activity_11_7130</t>
  </si>
  <si>
    <t xml:space="preserve">activity_11_7190</t>
  </si>
  <si>
    <t xml:space="preserve">activity_11_7200</t>
  </si>
  <si>
    <t xml:space="preserve">activity_11_7210</t>
  </si>
  <si>
    <t xml:space="preserve">activity_11_7220</t>
  </si>
  <si>
    <t xml:space="preserve">activity_11_7230</t>
  </si>
  <si>
    <t xml:space="preserve">activity_11_7250</t>
  </si>
  <si>
    <t xml:space="preserve">activity_11_7290</t>
  </si>
  <si>
    <t xml:space="preserve">activity_11_7300</t>
  </si>
  <si>
    <t xml:space="preserve">activity_11_7310</t>
  </si>
  <si>
    <t xml:space="preserve">activity_11_7320</t>
  </si>
  <si>
    <t xml:space="preserve">activity_11_7330</t>
  </si>
  <si>
    <t xml:space="preserve">activity_11_7390</t>
  </si>
  <si>
    <t xml:space="preserve">activity_11_8000</t>
  </si>
  <si>
    <t xml:space="preserve">activity_11_8100</t>
  </si>
  <si>
    <t xml:space="preserve">activity_11_8110</t>
  </si>
  <si>
    <t xml:space="preserve">activity_11_8120</t>
  </si>
  <si>
    <t xml:space="preserve">activity_11_8190</t>
  </si>
  <si>
    <t xml:space="preserve">activity_11_8210</t>
  </si>
  <si>
    <t xml:space="preserve">activity_11_8220</t>
  </si>
  <si>
    <t xml:space="preserve">activity_11_8300</t>
  </si>
  <si>
    <t xml:space="preserve">activity_11_8310</t>
  </si>
  <si>
    <t xml:space="preserve">activity_11_8320</t>
  </si>
  <si>
    <t xml:space="preserve">activity_11_9950</t>
  </si>
  <si>
    <t xml:space="preserve">activity_11_9980</t>
  </si>
  <si>
    <t xml:space="preserve">activity_11_9990</t>
  </si>
  <si>
    <t xml:space="preserve">activity_10_0</t>
  </si>
  <si>
    <t xml:space="preserve">activity_10_110</t>
  </si>
  <si>
    <t xml:space="preserve">activity_10_120</t>
  </si>
  <si>
    <t xml:space="preserve">activity_10_130</t>
  </si>
  <si>
    <t xml:space="preserve">activity_10_190</t>
  </si>
  <si>
    <t xml:space="preserve">activity_10_200</t>
  </si>
  <si>
    <t xml:space="preserve">activity_10_210</t>
  </si>
  <si>
    <t xml:space="preserve">activity_10_220</t>
  </si>
  <si>
    <t xml:space="preserve">activity_10_230</t>
  </si>
  <si>
    <t xml:space="preserve">activity_10_290</t>
  </si>
  <si>
    <t xml:space="preserve">activity_10_300</t>
  </si>
  <si>
    <t xml:space="preserve">activity_10_310</t>
  </si>
  <si>
    <t xml:space="preserve">activity_10_320</t>
  </si>
  <si>
    <t xml:space="preserve">activity_10_330</t>
  </si>
  <si>
    <t xml:space="preserve">activity_10_390</t>
  </si>
  <si>
    <t xml:space="preserve">activity_10_3000</t>
  </si>
  <si>
    <t xml:space="preserve">activity_10_3110</t>
  </si>
  <si>
    <t xml:space="preserve">activity_10_3120</t>
  </si>
  <si>
    <t xml:space="preserve">activity_10_3130</t>
  </si>
  <si>
    <t xml:space="preserve">activity_10_3140</t>
  </si>
  <si>
    <t xml:space="preserve">activity_10_3190</t>
  </si>
  <si>
    <t xml:space="preserve">activity_10_3200</t>
  </si>
  <si>
    <t xml:space="preserve">activity_10_3210</t>
  </si>
  <si>
    <t xml:space="preserve">activity_10_3220</t>
  </si>
  <si>
    <t xml:space="preserve">activity_10_3230</t>
  </si>
  <si>
    <t xml:space="preserve">activity_10_3240</t>
  </si>
  <si>
    <t xml:space="preserve">activity_10_3290</t>
  </si>
  <si>
    <t xml:space="preserve">activity_10_3300</t>
  </si>
  <si>
    <t xml:space="preserve">activity_10_3310</t>
  </si>
  <si>
    <t xml:space="preserve">activity_10_3320</t>
  </si>
  <si>
    <t xml:space="preserve">activity_10_3330</t>
  </si>
  <si>
    <t xml:space="preserve">activity_10_3390</t>
  </si>
  <si>
    <t xml:space="preserve">activity_10_3400</t>
  </si>
  <si>
    <t xml:space="preserve">activity_10_3410</t>
  </si>
  <si>
    <t xml:space="preserve">activity_10_3420</t>
  </si>
  <si>
    <t xml:space="preserve">activity_10_3430</t>
  </si>
  <si>
    <t xml:space="preserve">activity_10_3440</t>
  </si>
  <si>
    <t xml:space="preserve">activity_10_3490</t>
  </si>
  <si>
    <t xml:space="preserve">activity_10_3500</t>
  </si>
  <si>
    <t xml:space="preserve">activity_10_3510</t>
  </si>
  <si>
    <t xml:space="preserve">activity_10_3520</t>
  </si>
  <si>
    <t xml:space="preserve">activity_10_3530</t>
  </si>
  <si>
    <t xml:space="preserve">activity_10_3540</t>
  </si>
  <si>
    <t xml:space="preserve">activity_10_3590</t>
  </si>
  <si>
    <t xml:space="preserve">activity_10_3600</t>
  </si>
  <si>
    <t xml:space="preserve">activity_10_3610</t>
  </si>
  <si>
    <t xml:space="preserve">activity_10_3620</t>
  </si>
  <si>
    <t xml:space="preserve">activity_10_3630</t>
  </si>
  <si>
    <t xml:space="preserve">activity_10_3690</t>
  </si>
  <si>
    <t xml:space="preserve">activity_10_3710</t>
  </si>
  <si>
    <t xml:space="preserve">activity_10_3800</t>
  </si>
  <si>
    <t xml:space="preserve">activity_10_3810</t>
  </si>
  <si>
    <t xml:space="preserve">activity_10_3820</t>
  </si>
  <si>
    <t xml:space="preserve">activity_10_3830</t>
  </si>
  <si>
    <t xml:space="preserve">activity_10_3840</t>
  </si>
  <si>
    <t xml:space="preserve">activity_10_3890</t>
  </si>
  <si>
    <t xml:space="preserve">activity_10_3910</t>
  </si>
  <si>
    <t xml:space="preserve">activity_10_3920</t>
  </si>
  <si>
    <t xml:space="preserve">activity_10_3990</t>
  </si>
  <si>
    <t xml:space="preserve">activity_10_4000</t>
  </si>
  <si>
    <t xml:space="preserve">activity_10_4100</t>
  </si>
  <si>
    <t xml:space="preserve">activity_10_4110</t>
  </si>
  <si>
    <t xml:space="preserve">activity_10_4120</t>
  </si>
  <si>
    <t xml:space="preserve">activity_10_4210</t>
  </si>
  <si>
    <t xml:space="preserve">activity_10_4220</t>
  </si>
  <si>
    <t xml:space="preserve">activity_10_4230</t>
  </si>
  <si>
    <t xml:space="preserve">activity_10_4240</t>
  </si>
  <si>
    <t xml:space="preserve">activity_10_4250</t>
  </si>
  <si>
    <t xml:space="preserve">activity_10_4290</t>
  </si>
  <si>
    <t xml:space="preserve">activity_10_4300</t>
  </si>
  <si>
    <t xml:space="preserve">activity_10_4310</t>
  </si>
  <si>
    <t xml:space="preserve">activity_10_4320</t>
  </si>
  <si>
    <t xml:space="preserve">activity_10_4390</t>
  </si>
  <si>
    <t xml:space="preserve">activity_10_5000</t>
  </si>
  <si>
    <t xml:space="preserve">activity_10_5100</t>
  </si>
  <si>
    <t xml:space="preserve">activity_10_5110</t>
  </si>
  <si>
    <t xml:space="preserve">activity_10_5120</t>
  </si>
  <si>
    <t xml:space="preserve">activity_10_5130</t>
  </si>
  <si>
    <t xml:space="preserve">activity_10_5140</t>
  </si>
  <si>
    <t xml:space="preserve">activity_10_5190</t>
  </si>
  <si>
    <t xml:space="preserve">activity_10_5200</t>
  </si>
  <si>
    <t xml:space="preserve">activity_10_5210</t>
  </si>
  <si>
    <t xml:space="preserve">activity_10_5220</t>
  </si>
  <si>
    <t xml:space="preserve">activity_10_5230</t>
  </si>
  <si>
    <t xml:space="preserve">activity_10_5240</t>
  </si>
  <si>
    <t xml:space="preserve">activity_10_5250</t>
  </si>
  <si>
    <t xml:space="preserve">activity_10_5260</t>
  </si>
  <si>
    <t xml:space="preserve">activity_10_5290</t>
  </si>
  <si>
    <t xml:space="preserve">activity_10_5310</t>
  </si>
  <si>
    <t xml:space="preserve">activity_10_6000</t>
  </si>
  <si>
    <t xml:space="preserve">activity_10_6100</t>
  </si>
  <si>
    <t xml:space="preserve">activity_10_6110</t>
  </si>
  <si>
    <t xml:space="preserve">activity_10_6120</t>
  </si>
  <si>
    <t xml:space="preserve">activity_10_6130</t>
  </si>
  <si>
    <t xml:space="preserve">activity_10_6140</t>
  </si>
  <si>
    <t xml:space="preserve">activity_10_6150</t>
  </si>
  <si>
    <t xml:space="preserve">activity_10_6160</t>
  </si>
  <si>
    <t xml:space="preserve">activity_10_6190</t>
  </si>
  <si>
    <t xml:space="preserve">activity_10_6200</t>
  </si>
  <si>
    <t xml:space="preserve">activity_10_6210</t>
  </si>
  <si>
    <t xml:space="preserve">activity_10_6220</t>
  </si>
  <si>
    <t xml:space="preserve">activity_10_6290</t>
  </si>
  <si>
    <t xml:space="preserve">activity_10_6310</t>
  </si>
  <si>
    <t xml:space="preserve">activity_10_7000</t>
  </si>
  <si>
    <t xml:space="preserve">activity_10_7100</t>
  </si>
  <si>
    <t xml:space="preserve">activity_10_7110</t>
  </si>
  <si>
    <t xml:space="preserve">activity_10_7120</t>
  </si>
  <si>
    <t xml:space="preserve">activity_10_7130</t>
  </si>
  <si>
    <t xml:space="preserve">activity_10_7190</t>
  </si>
  <si>
    <t xml:space="preserve">activity_10_7200</t>
  </si>
  <si>
    <t xml:space="preserve">activity_10_7210</t>
  </si>
  <si>
    <t xml:space="preserve">activity_10_7220</t>
  </si>
  <si>
    <t xml:space="preserve">activity_10_7230</t>
  </si>
  <si>
    <t xml:space="preserve">activity_10_7250</t>
  </si>
  <si>
    <t xml:space="preserve">activity_10_7290</t>
  </si>
  <si>
    <t xml:space="preserve">activity_10_7300</t>
  </si>
  <si>
    <t xml:space="preserve">activity_10_7310</t>
  </si>
  <si>
    <t xml:space="preserve">activity_10_7320</t>
  </si>
  <si>
    <t xml:space="preserve">activity_10_7330</t>
  </si>
  <si>
    <t xml:space="preserve">activity_10_7390</t>
  </si>
  <si>
    <t xml:space="preserve">activity_10_8000</t>
  </si>
  <si>
    <t xml:space="preserve">activity_10_8100</t>
  </si>
  <si>
    <t xml:space="preserve">activity_10_8110</t>
  </si>
  <si>
    <t xml:space="preserve">activity_10_8120</t>
  </si>
  <si>
    <t xml:space="preserve">activity_10_8190</t>
  </si>
  <si>
    <t xml:space="preserve">activity_10_8210</t>
  </si>
  <si>
    <t xml:space="preserve">activity_10_8220</t>
  </si>
  <si>
    <t xml:space="preserve">activity_10_8300</t>
  </si>
  <si>
    <t xml:space="preserve">activity_10_8310</t>
  </si>
  <si>
    <t xml:space="preserve">activity_10_8320</t>
  </si>
  <si>
    <t xml:space="preserve">activity_10_9950</t>
  </si>
  <si>
    <t xml:space="preserve">activity_10_9980</t>
  </si>
  <si>
    <t xml:space="preserve">activity_10_9990</t>
  </si>
  <si>
    <t xml:space="preserve">activity_20_9000</t>
  </si>
  <si>
    <t xml:space="preserve">activity_21_9000</t>
  </si>
  <si>
    <t xml:space="preserve">activity_22_9000</t>
  </si>
  <si>
    <t xml:space="preserve">activity_23_9000</t>
  </si>
  <si>
    <t xml:space="preserve">activity_24_9000</t>
  </si>
  <si>
    <t xml:space="preserve">activity_25_9000</t>
  </si>
  <si>
    <t xml:space="preserve">activity_26_9000</t>
  </si>
  <si>
    <t xml:space="preserve">activity_20_9360</t>
  </si>
  <si>
    <t xml:space="preserve">activity_21_9360</t>
  </si>
  <si>
    <t xml:space="preserve">activity_22_9360</t>
  </si>
  <si>
    <t xml:space="preserve">activity_23_9360</t>
  </si>
  <si>
    <t xml:space="preserve">activity_24_9360</t>
  </si>
  <si>
    <t xml:space="preserve">activity_25_9360</t>
  </si>
  <si>
    <t xml:space="preserve">activity_26_9360</t>
  </si>
  <si>
    <t xml:space="preserve">activity_20_9380</t>
  </si>
  <si>
    <t xml:space="preserve">activity_21_9380</t>
  </si>
  <si>
    <t xml:space="preserve">activity_22_9380</t>
  </si>
  <si>
    <t xml:space="preserve">activity_23_9380</t>
  </si>
  <si>
    <t xml:space="preserve">activity_24_9380</t>
  </si>
  <si>
    <t xml:space="preserve">activity_25_9380</t>
  </si>
  <si>
    <t xml:space="preserve">activity_26_9380</t>
  </si>
  <si>
    <t xml:space="preserve">activity_20_9400</t>
  </si>
  <si>
    <t xml:space="preserve">activity_21_9400</t>
  </si>
  <si>
    <t xml:space="preserve">activity_22_9400</t>
  </si>
  <si>
    <t xml:space="preserve">activity_23_9400</t>
  </si>
  <si>
    <t xml:space="preserve">activity_24_9400</t>
  </si>
  <si>
    <t xml:space="preserve">activity_25_9400</t>
  </si>
  <si>
    <t xml:space="preserve">activity_26_9400</t>
  </si>
  <si>
    <t xml:space="preserve">activity_20_9500</t>
  </si>
  <si>
    <t xml:space="preserve">activity_21_9500</t>
  </si>
  <si>
    <t xml:space="preserve">activity_22_9500</t>
  </si>
  <si>
    <t xml:space="preserve">activity_23_9500</t>
  </si>
  <si>
    <t xml:space="preserve">activity_24_9500</t>
  </si>
  <si>
    <t xml:space="preserve">activity_25_9500</t>
  </si>
  <si>
    <t xml:space="preserve">activity_26_9500</t>
  </si>
  <si>
    <t xml:space="preserve">activity_20_9600</t>
  </si>
  <si>
    <t xml:space="preserve">activity_21_9600</t>
  </si>
  <si>
    <t xml:space="preserve">activity_22_9600</t>
  </si>
  <si>
    <t xml:space="preserve">activity_23_9600</t>
  </si>
  <si>
    <t xml:space="preserve">activity_24_9600</t>
  </si>
  <si>
    <t xml:space="preserve">activity_25_9600</t>
  </si>
  <si>
    <t xml:space="preserve">activity_26_9600</t>
  </si>
  <si>
    <t xml:space="preserve">activity_20_9800</t>
  </si>
  <si>
    <t xml:space="preserve">activity_21_9800</t>
  </si>
  <si>
    <t xml:space="preserve">activity_22_9800</t>
  </si>
  <si>
    <t xml:space="preserve">activity_23_9800</t>
  </si>
  <si>
    <t xml:space="preserve">activity_24_9800</t>
  </si>
  <si>
    <t xml:space="preserve">activity_25_9800</t>
  </si>
  <si>
    <t xml:space="preserve">activity_26_9800</t>
  </si>
  <si>
    <t xml:space="preserve">9000_20</t>
  </si>
  <si>
    <t xml:space="preserve">9000_21</t>
  </si>
  <si>
    <t xml:space="preserve">9000_22</t>
  </si>
  <si>
    <t xml:space="preserve">9000_23</t>
  </si>
  <si>
    <t xml:space="preserve">9000_24</t>
  </si>
  <si>
    <t xml:space="preserve">9000_25</t>
  </si>
  <si>
    <t xml:space="preserve">9000_26</t>
  </si>
  <si>
    <t xml:space="preserve">9100_20</t>
  </si>
  <si>
    <t xml:space="preserve">9100_21</t>
  </si>
  <si>
    <t xml:space="preserve">9100_22</t>
  </si>
  <si>
    <t xml:space="preserve">9100_23</t>
  </si>
  <si>
    <t xml:space="preserve">9100_24</t>
  </si>
  <si>
    <t xml:space="preserve">9100_25</t>
  </si>
  <si>
    <t xml:space="preserve">9100_26</t>
  </si>
  <si>
    <t xml:space="preserve">9200_20</t>
  </si>
  <si>
    <t xml:space="preserve">9200_21</t>
  </si>
  <si>
    <t xml:space="preserve">9200_22</t>
  </si>
  <si>
    <t xml:space="preserve">9200_23</t>
  </si>
  <si>
    <t xml:space="preserve">9200_24</t>
  </si>
  <si>
    <t xml:space="preserve">9200_25</t>
  </si>
  <si>
    <t xml:space="preserve">9200_26</t>
  </si>
  <si>
    <t xml:space="preserve">9360_20</t>
  </si>
  <si>
    <t xml:space="preserve">9360_21</t>
  </si>
  <si>
    <t xml:space="preserve">9360_22</t>
  </si>
  <si>
    <t xml:space="preserve">9360_23</t>
  </si>
  <si>
    <t xml:space="preserve">9360_24</t>
  </si>
  <si>
    <t xml:space="preserve">9360_25</t>
  </si>
  <si>
    <t xml:space="preserve">9360_26</t>
  </si>
  <si>
    <t xml:space="preserve">9380_20</t>
  </si>
  <si>
    <t xml:space="preserve">9380_21</t>
  </si>
  <si>
    <t xml:space="preserve">9380_22</t>
  </si>
  <si>
    <t xml:space="preserve">9380_23</t>
  </si>
  <si>
    <t xml:space="preserve">9380_24</t>
  </si>
  <si>
    <t xml:space="preserve">9380_25</t>
  </si>
  <si>
    <t xml:space="preserve">9380_26</t>
  </si>
  <si>
    <t xml:space="preserve">9400_20</t>
  </si>
  <si>
    <t xml:space="preserve">9400_21</t>
  </si>
  <si>
    <t xml:space="preserve">9400_22</t>
  </si>
  <si>
    <t xml:space="preserve">9400_23</t>
  </si>
  <si>
    <t xml:space="preserve">9400_24</t>
  </si>
  <si>
    <t xml:space="preserve">9400_25</t>
  </si>
  <si>
    <t xml:space="preserve">9400_26</t>
  </si>
  <si>
    <t xml:space="preserve">9500_20</t>
  </si>
  <si>
    <t xml:space="preserve">9500_21</t>
  </si>
  <si>
    <t xml:space="preserve">9500_22</t>
  </si>
  <si>
    <t xml:space="preserve">9500_23</t>
  </si>
  <si>
    <t xml:space="preserve">9500_24</t>
  </si>
  <si>
    <t xml:space="preserve">9500_25</t>
  </si>
  <si>
    <t xml:space="preserve">9500_26</t>
  </si>
  <si>
    <t xml:space="preserve">9600_20</t>
  </si>
  <si>
    <t xml:space="preserve">9600_21</t>
  </si>
  <si>
    <t xml:space="preserve">9600_22</t>
  </si>
  <si>
    <t xml:space="preserve">9600_23</t>
  </si>
  <si>
    <t xml:space="preserve">9600_24</t>
  </si>
  <si>
    <t xml:space="preserve">9600_25</t>
  </si>
  <si>
    <t xml:space="preserve">9600_26</t>
  </si>
  <si>
    <t xml:space="preserve">9800_20</t>
  </si>
  <si>
    <t xml:space="preserve">9800_21</t>
  </si>
  <si>
    <t xml:space="preserve">9800_22</t>
  </si>
  <si>
    <t xml:space="preserve">9800_23</t>
  </si>
  <si>
    <t xml:space="preserve">9800_24</t>
  </si>
  <si>
    <t xml:space="preserve">9800_25</t>
  </si>
  <si>
    <t xml:space="preserve">9800_26</t>
  </si>
  <si>
    <t xml:space="preserve">Andere of niet gespecificeerde verplaatsing</t>
  </si>
  <si>
    <t xml:space="preserve">Verplaatsing van en naar werk</t>
  </si>
  <si>
    <t xml:space="preserve">Verplaatsing van en naar school of studie</t>
  </si>
  <si>
    <t xml:space="preserve">Verplaatsing van en naar winkels en diensten</t>
  </si>
  <si>
    <t xml:space="preserve">Verplaatsing tbv andere huishoudelijke activiteit</t>
  </si>
  <si>
    <t xml:space="preserve">Verplaatsing tbv vrijwilligerswerk of bijeenkomsten</t>
  </si>
  <si>
    <t xml:space="preserve">verplaatsing tbv sociaal leven</t>
  </si>
  <si>
    <t xml:space="preserve">Verplaatsing tbv ander vrijetijdsbesteding</t>
  </si>
  <si>
    <t xml:space="preserve">Verplaatsing tbv verandering locatie</t>
  </si>
  <si>
    <t xml:space="preserve">Intercept</t>
  </si>
  <si>
    <t xml:space="preserve">variable</t>
  </si>
  <si>
    <t xml:space="preserve">emissions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</si>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</sst>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9"/>
        <bgColor rgb="FF339966"/>
      </patternFill>
    </fill>
    <fill>
      <patternFill patternType="solid">
        <fgColor theme="9" tint="0.5999"/>
        <bgColor rgb="FFD9D9D9"/>
      </patternFill>
    </fill>
    <fill>
      <patternFill patternType="solid">
        <fgColor theme="7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theme="0" tint="-0.15"/>
        <bgColor rgb="FFC5E0B4"/>
      </patternFill>
    </fill>
    <fill>
      <patternFill patternType="solid">
        <fgColor theme="0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connections" Target="connections.xml"/><Relationship Id="rId12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carbonEmissions_households_means__2" displayName="carbonEmissions_households_means__2" ref="A1:B158" headerRowCount="1" totalsRowCount="0" totalsRowShown="0">
  <autoFilter ref="A1:B158"/>
  <tableColumns count="2">
    <tableColumn id="1" name="variable"/>
    <tableColumn id="2" name="emissions"/>
  </tableColumns>
</table>
</file>

<file path=xl/tables/table2.xml><?xml version="1.0" encoding="utf-8"?>
<table xmlns="http://schemas.openxmlformats.org/spreadsheetml/2006/main" id="2" name="mapping_budget_TBO_relative" displayName="mapping_budget_TBO_relative" ref="A1:LD157" headerRowCount="1" totalsRowCount="0" totalsRowShown="0">
  <autoFilter ref="A1:LD157"/>
  <tableColumns count="316">
    <tableColumn id="1" name="Column1"/>
    <tableColumn id="2" name="activity_11_0"/>
    <tableColumn id="3" name="activity_11_110"/>
    <tableColumn id="4" name="activity_11_120"/>
    <tableColumn id="5" name="activity_11_130"/>
    <tableColumn id="6" name="activity_11_190"/>
    <tableColumn id="7" name="activity_11_200"/>
    <tableColumn id="8" name="activity_11_210"/>
    <tableColumn id="9" name="activity_11_220"/>
    <tableColumn id="10" name="activity_11_230"/>
    <tableColumn id="11" name="activity_11_290"/>
    <tableColumn id="12" name="activity_11_300"/>
    <tableColumn id="13" name="activity_11_310"/>
    <tableColumn id="14" name="activity_11_320"/>
    <tableColumn id="15" name="activity_11_330"/>
    <tableColumn id="16" name="activity_11_390"/>
    <tableColumn id="17" name="activity_11_3000"/>
    <tableColumn id="18" name="activity_11_3110"/>
    <tableColumn id="19" name="activity_11_3120"/>
    <tableColumn id="20" name="activity_11_3130"/>
    <tableColumn id="21" name="activity_11_3140"/>
    <tableColumn id="22" name="activity_11_3190"/>
    <tableColumn id="23" name="activity_11_3200"/>
    <tableColumn id="24" name="activity_11_3210"/>
    <tableColumn id="25" name="activity_11_3220"/>
    <tableColumn id="26" name="activity_11_3230"/>
    <tableColumn id="27" name="activity_11_3240"/>
    <tableColumn id="28" name="activity_11_3290"/>
    <tableColumn id="29" name="activity_11_3300"/>
    <tableColumn id="30" name="activity_11_3310"/>
    <tableColumn id="31" name="activity_11_3320"/>
    <tableColumn id="32" name="activity_11_3330"/>
    <tableColumn id="33" name="activity_11_3390"/>
    <tableColumn id="34" name="activity_11_3400"/>
    <tableColumn id="35" name="activity_11_3410"/>
    <tableColumn id="36" name="activity_11_3420"/>
    <tableColumn id="37" name="activity_11_3430"/>
    <tableColumn id="38" name="activity_11_3440"/>
    <tableColumn id="39" name="activity_11_3490"/>
    <tableColumn id="40" name="activity_11_3500"/>
    <tableColumn id="41" name="activity_11_3510"/>
    <tableColumn id="42" name="activity_11_3520"/>
    <tableColumn id="43" name="activity_11_3530"/>
    <tableColumn id="44" name="activity_11_3540"/>
    <tableColumn id="45" name="activity_11_3590"/>
    <tableColumn id="46" name="activity_11_3600"/>
    <tableColumn id="47" name="activity_11_3610"/>
    <tableColumn id="48" name="activity_11_3620"/>
    <tableColumn id="49" name="activity_11_3630"/>
    <tableColumn id="50" name="activity_11_3690"/>
    <tableColumn id="51" name="activity_11_3710"/>
    <tableColumn id="52" name="activity_11_3800"/>
    <tableColumn id="53" name="activity_11_3810"/>
    <tableColumn id="54" name="activity_11_3820"/>
    <tableColumn id="55" name="activity_11_3830"/>
    <tableColumn id="56" name="activity_11_3840"/>
    <tableColumn id="57" name="activity_11_3890"/>
    <tableColumn id="58" name="activity_11_3910"/>
    <tableColumn id="59" name="activity_11_3920"/>
    <tableColumn id="60" name="activity_11_3990"/>
    <tableColumn id="61" name="activity_11_4000"/>
    <tableColumn id="62" name="activity_11_4100"/>
    <tableColumn id="63" name="activity_11_4110"/>
    <tableColumn id="64" name="activity_11_4120"/>
    <tableColumn id="65" name="activity_11_4210"/>
    <tableColumn id="66" name="activity_11_4220"/>
    <tableColumn id="67" name="activity_11_4230"/>
    <tableColumn id="68" name="activity_11_4240"/>
    <tableColumn id="69" name="activity_11_4250"/>
    <tableColumn id="70" name="activity_11_4290"/>
    <tableColumn id="71" name="activity_11_4300"/>
    <tableColumn id="72" name="activity_11_4310"/>
    <tableColumn id="73" name="activity_11_4320"/>
    <tableColumn id="74" name="activity_11_4390"/>
    <tableColumn id="75" name="activity_11_5000"/>
    <tableColumn id="76" name="activity_11_5100"/>
    <tableColumn id="77" name="activity_11_5110"/>
    <tableColumn id="78" name="activity_11_5120"/>
    <tableColumn id="79" name="activity_11_5130"/>
    <tableColumn id="80" name="activity_11_5140"/>
    <tableColumn id="81" name="activity_11_5190"/>
    <tableColumn id="82" name="activity_11_5200"/>
    <tableColumn id="83" name="activity_11_5210"/>
    <tableColumn id="84" name="activity_11_5220"/>
    <tableColumn id="85" name="activity_11_5230"/>
    <tableColumn id="86" name="activity_11_5240"/>
    <tableColumn id="87" name="activity_11_5250"/>
    <tableColumn id="88" name="activity_11_5260"/>
    <tableColumn id="89" name="activity_11_5290"/>
    <tableColumn id="90" name="activity_11_5310"/>
    <tableColumn id="91" name="activity_11_6000"/>
    <tableColumn id="92" name="activity_11_6100"/>
    <tableColumn id="93" name="activity_11_6110"/>
    <tableColumn id="94" name="activity_11_6120"/>
    <tableColumn id="95" name="activity_11_6130"/>
    <tableColumn id="96" name="activity_11_6140"/>
    <tableColumn id="97" name="activity_11_6150"/>
    <tableColumn id="98" name="activity_11_6160"/>
    <tableColumn id="99" name="activity_11_6190"/>
    <tableColumn id="100" name="activity_11_6200"/>
    <tableColumn id="101" name="activity_11_6210"/>
    <tableColumn id="102" name="activity_11_6220"/>
    <tableColumn id="103" name="activity_11_6290"/>
    <tableColumn id="104" name="activity_11_6310"/>
    <tableColumn id="105" name="activity_11_7000"/>
    <tableColumn id="106" name="activity_11_7100"/>
    <tableColumn id="107" name="activity_11_7110"/>
    <tableColumn id="108" name="activity_11_7120"/>
    <tableColumn id="109" name="activity_11_7130"/>
    <tableColumn id="110" name="activity_11_7190"/>
    <tableColumn id="111" name="activity_11_7200"/>
    <tableColumn id="112" name="activity_11_7210"/>
    <tableColumn id="113" name="activity_11_7220"/>
    <tableColumn id="114" name="activity_11_7230"/>
    <tableColumn id="115" name="activity_11_7250"/>
    <tableColumn id="116" name="activity_11_7290"/>
    <tableColumn id="117" name="activity_11_7300"/>
    <tableColumn id="118" name="activity_11_7310"/>
    <tableColumn id="119" name="activity_11_7320"/>
    <tableColumn id="120" name="activity_11_7330"/>
    <tableColumn id="121" name="activity_11_7390"/>
    <tableColumn id="122" name="activity_11_8000"/>
    <tableColumn id="123" name="activity_11_8100"/>
    <tableColumn id="124" name="activity_11_8110"/>
    <tableColumn id="125" name="activity_11_8120"/>
    <tableColumn id="126" name="activity_11_8190"/>
    <tableColumn id="127" name="activity_11_8210"/>
    <tableColumn id="128" name="activity_11_8220"/>
    <tableColumn id="129" name="activity_11_8300"/>
    <tableColumn id="130" name="activity_11_8310"/>
    <tableColumn id="131" name="activity_11_8320"/>
    <tableColumn id="132" name="activity_11_9950"/>
    <tableColumn id="133" name="activity_11_9980"/>
    <tableColumn id="134" name="activity_11_9990"/>
    <tableColumn id="135" name="activity_10_0"/>
    <tableColumn id="136" name="activity_10_110"/>
    <tableColumn id="137" name="activity_10_120"/>
    <tableColumn id="138" name="activity_10_130"/>
    <tableColumn id="139" name="activity_10_190"/>
    <tableColumn id="140" name="activity_10_200"/>
    <tableColumn id="141" name="activity_10_210"/>
    <tableColumn id="142" name="activity_10_220"/>
    <tableColumn id="143" name="activity_10_230"/>
    <tableColumn id="144" name="activity_10_290"/>
    <tableColumn id="145" name="activity_10_300"/>
    <tableColumn id="146" name="activity_10_310"/>
    <tableColumn id="147" name="activity_10_320"/>
    <tableColumn id="148" name="activity_10_330"/>
    <tableColumn id="149" name="activity_10_390"/>
    <tableColumn id="150" name="activity_10_3000"/>
    <tableColumn id="151" name="activity_10_3110"/>
    <tableColumn id="152" name="activity_10_3120"/>
    <tableColumn id="153" name="activity_10_3130"/>
    <tableColumn id="154" name="activity_10_3140"/>
    <tableColumn id="155" name="activity_10_3190"/>
    <tableColumn id="156" name="activity_10_3200"/>
    <tableColumn id="157" name="activity_10_3210"/>
    <tableColumn id="158" name="activity_10_3220"/>
    <tableColumn id="159" name="activity_10_3230"/>
    <tableColumn id="160" name="activity_10_3240"/>
    <tableColumn id="161" name="activity_10_3290"/>
    <tableColumn id="162" name="activity_10_3300"/>
    <tableColumn id="163" name="activity_10_3310"/>
    <tableColumn id="164" name="activity_10_3320"/>
    <tableColumn id="165" name="activity_10_3330"/>
    <tableColumn id="166" name="activity_10_3390"/>
    <tableColumn id="167" name="activity_10_3400"/>
    <tableColumn id="168" name="activity_10_3410"/>
    <tableColumn id="169" name="activity_10_3420"/>
    <tableColumn id="170" name="activity_10_3430"/>
    <tableColumn id="171" name="activity_10_3440"/>
    <tableColumn id="172" name="activity_10_3490"/>
    <tableColumn id="173" name="activity_10_3500"/>
    <tableColumn id="174" name="activity_10_3510"/>
    <tableColumn id="175" name="activity_10_3520"/>
    <tableColumn id="176" name="activity_10_3530"/>
    <tableColumn id="177" name="activity_10_3540"/>
    <tableColumn id="178" name="activity_10_3590"/>
    <tableColumn id="179" name="activity_10_3600"/>
    <tableColumn id="180" name="activity_10_3610"/>
    <tableColumn id="181" name="activity_10_3620"/>
    <tableColumn id="182" name="activity_10_3630"/>
    <tableColumn id="183" name="activity_10_3690"/>
    <tableColumn id="184" name="activity_10_3710"/>
    <tableColumn id="185" name="activity_10_3800"/>
    <tableColumn id="186" name="activity_10_3810"/>
    <tableColumn id="187" name="activity_10_3820"/>
    <tableColumn id="188" name="activity_10_3830"/>
    <tableColumn id="189" name="activity_10_3840"/>
    <tableColumn id="190" name="activity_10_3890"/>
    <tableColumn id="191" name="activity_10_3910"/>
    <tableColumn id="192" name="activity_10_3920"/>
    <tableColumn id="193" name="activity_10_3990"/>
    <tableColumn id="194" name="activity_10_4000"/>
    <tableColumn id="195" name="activity_10_4100"/>
    <tableColumn id="196" name="activity_10_4110"/>
    <tableColumn id="197" name="activity_10_4120"/>
    <tableColumn id="198" name="activity_10_4210"/>
    <tableColumn id="199" name="activity_10_4220"/>
    <tableColumn id="200" name="activity_10_4230"/>
    <tableColumn id="201" name="activity_10_4240"/>
    <tableColumn id="202" name="activity_10_4250"/>
    <tableColumn id="203" name="activity_10_4290"/>
    <tableColumn id="204" name="activity_10_4300"/>
    <tableColumn id="205" name="activity_10_4310"/>
    <tableColumn id="206" name="activity_10_4320"/>
    <tableColumn id="207" name="activity_10_4390"/>
    <tableColumn id="208" name="activity_10_5000"/>
    <tableColumn id="209" name="activity_10_5100"/>
    <tableColumn id="210" name="activity_10_5110"/>
    <tableColumn id="211" name="activity_10_5120"/>
    <tableColumn id="212" name="activity_10_5130"/>
    <tableColumn id="213" name="activity_10_5140"/>
    <tableColumn id="214" name="activity_10_5190"/>
    <tableColumn id="215" name="activity_10_5200"/>
    <tableColumn id="216" name="activity_10_5210"/>
    <tableColumn id="217" name="activity_10_5220"/>
    <tableColumn id="218" name="activity_10_5230"/>
    <tableColumn id="219" name="activity_10_5240"/>
    <tableColumn id="220" name="activity_10_5250"/>
    <tableColumn id="221" name="activity_10_5260"/>
    <tableColumn id="222" name="activity_10_5290"/>
    <tableColumn id="223" name="activity_10_5310"/>
    <tableColumn id="224" name="activity_10_6000"/>
    <tableColumn id="225" name="activity_10_6100"/>
    <tableColumn id="226" name="activity_10_6110"/>
    <tableColumn id="227" name="activity_10_6120"/>
    <tableColumn id="228" name="activity_10_6130"/>
    <tableColumn id="229" name="activity_10_6140"/>
    <tableColumn id="230" name="activity_10_6150"/>
    <tableColumn id="231" name="activity_10_6160"/>
    <tableColumn id="232" name="activity_10_6190"/>
    <tableColumn id="233" name="activity_10_6200"/>
    <tableColumn id="234" name="activity_10_6210"/>
    <tableColumn id="235" name="activity_10_6220"/>
    <tableColumn id="236" name="activity_10_6290"/>
    <tableColumn id="237" name="activity_10_6310"/>
    <tableColumn id="238" name="activity_10_7000"/>
    <tableColumn id="239" name="activity_10_7100"/>
    <tableColumn id="240" name="activity_10_7110"/>
    <tableColumn id="241" name="activity_10_7120"/>
    <tableColumn id="242" name="activity_10_7130"/>
    <tableColumn id="243" name="activity_10_7190"/>
    <tableColumn id="244" name="activity_10_7200"/>
    <tableColumn id="245" name="activity_10_7210"/>
    <tableColumn id="246" name="activity_10_7220"/>
    <tableColumn id="247" name="activity_10_7230"/>
    <tableColumn id="248" name="activity_10_7250"/>
    <tableColumn id="249" name="activity_10_7290"/>
    <tableColumn id="250" name="activity_10_7300"/>
    <tableColumn id="251" name="activity_10_7310"/>
    <tableColumn id="252" name="activity_10_7320"/>
    <tableColumn id="253" name="activity_10_7330"/>
    <tableColumn id="254" name="activity_10_7390"/>
    <tableColumn id="255" name="activity_10_8000"/>
    <tableColumn id="256" name="activity_10_8100"/>
    <tableColumn id="257" name="activity_10_8110"/>
    <tableColumn id="258" name="activity_10_8120"/>
    <tableColumn id="259" name="activity_10_8190"/>
    <tableColumn id="260" name="activity_10_8210"/>
    <tableColumn id="261" name="activity_10_8220"/>
    <tableColumn id="262" name="activity_10_8300"/>
    <tableColumn id="263" name="activity_10_8310"/>
    <tableColumn id="264" name="activity_10_8320"/>
    <tableColumn id="265" name="activity_10_9950"/>
    <tableColumn id="266" name="activity_10_9980"/>
    <tableColumn id="267" name="activity_10_9990"/>
    <tableColumn id="268" name="activity_20_9000"/>
    <tableColumn id="269" name="activity_21_9000"/>
    <tableColumn id="270" name="activity_22_9000"/>
    <tableColumn id="271" name="activity_23_9000"/>
    <tableColumn id="272" name="activity_24_9000"/>
    <tableColumn id="273" name="activity_25_9000"/>
    <tableColumn id="274" name="activity_26_9000"/>
    <tableColumn id="275" name="activity_20_9360"/>
    <tableColumn id="276" name="activity_21_9360"/>
    <tableColumn id="277" name="activity_22_9360"/>
    <tableColumn id="278" name="activity_23_9360"/>
    <tableColumn id="279" name="activity_24_9360"/>
    <tableColumn id="280" name="activity_25_9360"/>
    <tableColumn id="281" name="activity_26_9360"/>
    <tableColumn id="282" name="activity_20_9380"/>
    <tableColumn id="283" name="activity_21_9380"/>
    <tableColumn id="284" name="activity_22_9380"/>
    <tableColumn id="285" name="activity_23_9380"/>
    <tableColumn id="286" name="activity_24_9380"/>
    <tableColumn id="287" name="activity_25_9380"/>
    <tableColumn id="288" name="activity_26_9380"/>
    <tableColumn id="289" name="activity_20_9400"/>
    <tableColumn id="290" name="activity_21_9400"/>
    <tableColumn id="291" name="activity_22_9400"/>
    <tableColumn id="292" name="activity_23_9400"/>
    <tableColumn id="293" name="activity_24_9400"/>
    <tableColumn id="294" name="activity_25_9400"/>
    <tableColumn id="295" name="activity_26_9400"/>
    <tableColumn id="296" name="activity_20_9500"/>
    <tableColumn id="297" name="activity_21_9500"/>
    <tableColumn id="298" name="activity_22_9500"/>
    <tableColumn id="299" name="activity_23_9500"/>
    <tableColumn id="300" name="activity_24_9500"/>
    <tableColumn id="301" name="activity_25_9500"/>
    <tableColumn id="302" name="activity_26_9500"/>
    <tableColumn id="303" name="activity_20_9600"/>
    <tableColumn id="304" name="activity_21_9600"/>
    <tableColumn id="305" name="activity_22_9600"/>
    <tableColumn id="306" name="activity_23_9600"/>
    <tableColumn id="307" name="activity_24_9600"/>
    <tableColumn id="308" name="activity_25_9600"/>
    <tableColumn id="309" name="activity_26_9600"/>
    <tableColumn id="310" name="activity_20_9800"/>
    <tableColumn id="311" name="activity_21_9800"/>
    <tableColumn id="312" name="activity_22_9800"/>
    <tableColumn id="313" name="activity_23_9800"/>
    <tableColumn id="314" name="activity_24_9800"/>
    <tableColumn id="315" name="activity_25_9800"/>
    <tableColumn id="316" name="activity_26_9800"/>
  </tableColumns>
</table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5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BA158" activeCellId="0" sqref="BA15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40.71"/>
    <col collapsed="false" customWidth="true" hidden="false" outlineLevel="0" max="3" min="3" style="1" width="20.57"/>
    <col collapsed="false" customWidth="true" hidden="false" outlineLevel="0" max="19" min="4" style="1" width="15.71"/>
    <col collapsed="false" customWidth="true" hidden="false" outlineLevel="0" max="20" min="20" style="2" width="15.71"/>
    <col collapsed="false" customWidth="true" hidden="false" outlineLevel="0" max="21" min="21" style="1" width="15.71"/>
    <col collapsed="false" customWidth="true" hidden="false" outlineLevel="0" max="22" min="22" style="2" width="15.71"/>
    <col collapsed="false" customWidth="true" hidden="false" outlineLevel="0" max="28" min="23" style="1" width="15.71"/>
    <col collapsed="false" customWidth="true" hidden="false" outlineLevel="0" max="29" min="29" style="2" width="15.71"/>
    <col collapsed="false" customWidth="true" hidden="false" outlineLevel="0" max="36" min="30" style="1" width="15.71"/>
    <col collapsed="false" customWidth="true" hidden="false" outlineLevel="0" max="37" min="37" style="2" width="15.71"/>
    <col collapsed="false" customWidth="true" hidden="false" outlineLevel="0" max="51" min="38" style="1" width="15.71"/>
    <col collapsed="false" customWidth="true" hidden="false" outlineLevel="0" max="52" min="52" style="2" width="15.71"/>
    <col collapsed="false" customWidth="true" hidden="false" outlineLevel="0" max="53" min="53" style="1" width="15.71"/>
  </cols>
  <sheetData>
    <row r="1" s="10" customFormat="true" ht="15" hidden="false" customHeight="false" outlineLevel="0" collapsed="false">
      <c r="A1" s="3" t="s">
        <v>0</v>
      </c>
      <c r="B1" s="4"/>
      <c r="C1" s="4" t="s">
        <v>1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7" t="s">
        <v>10</v>
      </c>
      <c r="M1" s="5" t="s">
        <v>11</v>
      </c>
      <c r="N1" s="5" t="n">
        <v>3000</v>
      </c>
      <c r="O1" s="5" t="s">
        <v>12</v>
      </c>
      <c r="P1" s="5" t="n">
        <v>3200</v>
      </c>
      <c r="Q1" s="8" t="n">
        <v>3300</v>
      </c>
      <c r="R1" s="5" t="n">
        <v>3310</v>
      </c>
      <c r="S1" s="5" t="n">
        <v>3400</v>
      </c>
      <c r="T1" s="5" t="n">
        <v>3430</v>
      </c>
      <c r="U1" s="5" t="n">
        <v>3500</v>
      </c>
      <c r="V1" s="5" t="n">
        <v>3540</v>
      </c>
      <c r="W1" s="9" t="n">
        <v>3600</v>
      </c>
      <c r="X1" s="5" t="n">
        <v>3610</v>
      </c>
      <c r="Y1" s="5" t="n">
        <v>3620</v>
      </c>
      <c r="Z1" s="5" t="n">
        <v>3630</v>
      </c>
      <c r="AA1" s="5" t="s">
        <v>13</v>
      </c>
      <c r="AB1" s="5" t="n">
        <v>3800</v>
      </c>
      <c r="AC1" s="5" t="n">
        <v>3830</v>
      </c>
      <c r="AD1" s="5" t="s">
        <v>14</v>
      </c>
      <c r="AE1" s="5" t="n">
        <v>4000</v>
      </c>
      <c r="AF1" s="5" t="n">
        <v>4100</v>
      </c>
      <c r="AG1" s="9" t="s">
        <v>15</v>
      </c>
      <c r="AH1" s="5" t="n">
        <v>4300</v>
      </c>
      <c r="AI1" s="5" t="n">
        <v>5000</v>
      </c>
      <c r="AJ1" s="5" t="n">
        <v>5100</v>
      </c>
      <c r="AK1" s="5" t="n">
        <v>5140</v>
      </c>
      <c r="AL1" s="5" t="n">
        <v>5200</v>
      </c>
      <c r="AM1" s="5" t="s">
        <v>16</v>
      </c>
      <c r="AN1" s="5" t="n">
        <v>6000</v>
      </c>
      <c r="AO1" s="5" t="n">
        <v>6100</v>
      </c>
      <c r="AP1" s="5" t="n">
        <v>6200</v>
      </c>
      <c r="AQ1" s="5" t="s">
        <v>17</v>
      </c>
      <c r="AR1" s="5" t="n">
        <v>7000</v>
      </c>
      <c r="AS1" s="5" t="n">
        <v>7100</v>
      </c>
      <c r="AT1" s="5" t="n">
        <v>7130</v>
      </c>
      <c r="AU1" s="5" t="n">
        <v>7200</v>
      </c>
      <c r="AV1" s="5" t="n">
        <v>7300</v>
      </c>
      <c r="AW1" s="5" t="n">
        <v>7330</v>
      </c>
      <c r="AX1" s="8" t="n">
        <v>8000</v>
      </c>
      <c r="AY1" s="5" t="n">
        <v>8100</v>
      </c>
      <c r="AZ1" s="5" t="s">
        <v>18</v>
      </c>
      <c r="BA1" s="5" t="s">
        <v>19</v>
      </c>
    </row>
    <row r="2" s="2" customFormat="true" ht="15" hidden="false" customHeight="false" outlineLevel="0" collapsed="false">
      <c r="A2" s="6"/>
      <c r="B2" s="6"/>
      <c r="C2" s="6"/>
      <c r="D2" s="6" t="s">
        <v>20</v>
      </c>
      <c r="E2" s="6" t="s">
        <v>21</v>
      </c>
      <c r="F2" s="11" t="s">
        <v>22</v>
      </c>
      <c r="G2" s="11" t="s">
        <v>23</v>
      </c>
      <c r="H2" s="6" t="s">
        <v>24</v>
      </c>
      <c r="I2" s="12" t="s">
        <v>25</v>
      </c>
      <c r="J2" s="6" t="s">
        <v>26</v>
      </c>
      <c r="K2" s="6" t="s">
        <v>27</v>
      </c>
      <c r="L2" s="13" t="s">
        <v>28</v>
      </c>
      <c r="M2" s="6" t="s">
        <v>29</v>
      </c>
      <c r="N2" s="11" t="s">
        <v>30</v>
      </c>
      <c r="O2" s="11" t="s">
        <v>31</v>
      </c>
      <c r="P2" s="12" t="s">
        <v>32</v>
      </c>
      <c r="Q2" s="14" t="s">
        <v>33</v>
      </c>
      <c r="R2" s="6" t="s">
        <v>34</v>
      </c>
      <c r="S2" s="11" t="s">
        <v>35</v>
      </c>
      <c r="T2" s="6" t="s">
        <v>36</v>
      </c>
      <c r="U2" s="11" t="s">
        <v>37</v>
      </c>
      <c r="V2" s="6" t="s">
        <v>38</v>
      </c>
      <c r="W2" s="15" t="s">
        <v>39</v>
      </c>
      <c r="X2" s="6" t="s">
        <v>40</v>
      </c>
      <c r="Y2" s="6" t="s">
        <v>41</v>
      </c>
      <c r="Z2" s="6" t="s">
        <v>42</v>
      </c>
      <c r="AA2" s="6" t="s">
        <v>43</v>
      </c>
      <c r="AB2" s="11" t="s">
        <v>44</v>
      </c>
      <c r="AC2" s="6" t="s">
        <v>45</v>
      </c>
      <c r="AD2" s="11" t="s">
        <v>46</v>
      </c>
      <c r="AE2" s="11" t="s">
        <v>47</v>
      </c>
      <c r="AF2" s="11" t="s">
        <v>48</v>
      </c>
      <c r="AG2" s="15" t="s">
        <v>49</v>
      </c>
      <c r="AH2" s="11" t="s">
        <v>50</v>
      </c>
      <c r="AI2" s="11" t="s">
        <v>51</v>
      </c>
      <c r="AJ2" s="11" t="s">
        <v>52</v>
      </c>
      <c r="AK2" s="6" t="s">
        <v>53</v>
      </c>
      <c r="AL2" s="11" t="s">
        <v>54</v>
      </c>
      <c r="AM2" s="11" t="s">
        <v>55</v>
      </c>
      <c r="AN2" s="11" t="s">
        <v>56</v>
      </c>
      <c r="AO2" s="11" t="s">
        <v>57</v>
      </c>
      <c r="AP2" s="11" t="s">
        <v>58</v>
      </c>
      <c r="AQ2" s="6" t="s">
        <v>59</v>
      </c>
      <c r="AR2" s="11" t="s">
        <v>60</v>
      </c>
      <c r="AS2" s="11" t="s">
        <v>61</v>
      </c>
      <c r="AT2" s="6" t="s">
        <v>62</v>
      </c>
      <c r="AU2" s="11" t="s">
        <v>63</v>
      </c>
      <c r="AV2" s="11" t="s">
        <v>64</v>
      </c>
      <c r="AW2" s="6" t="s">
        <v>65</v>
      </c>
      <c r="AX2" s="16" t="s">
        <v>66</v>
      </c>
      <c r="AY2" s="11" t="s">
        <v>67</v>
      </c>
      <c r="AZ2" s="11" t="s">
        <v>68</v>
      </c>
      <c r="BA2" s="11" t="s">
        <v>69</v>
      </c>
    </row>
    <row r="3" customFormat="false" ht="15" hidden="false" customHeight="false" outlineLevel="0" collapsed="false">
      <c r="A3" s="17" t="s">
        <v>70</v>
      </c>
      <c r="B3" s="17" t="s">
        <v>71</v>
      </c>
      <c r="C3" s="18" t="n">
        <f aca="false">emissions!B2</f>
        <v>0</v>
      </c>
      <c r="D3" s="17" t="n">
        <v>1</v>
      </c>
      <c r="E3" s="17"/>
      <c r="F3" s="17" t="n">
        <v>1</v>
      </c>
      <c r="G3" s="17"/>
      <c r="H3" s="17"/>
      <c r="I3" s="17"/>
      <c r="J3" s="17"/>
      <c r="K3" s="17"/>
      <c r="L3" s="17"/>
      <c r="M3" s="17"/>
      <c r="N3" s="17" t="n">
        <v>1</v>
      </c>
      <c r="O3" s="17"/>
      <c r="P3" s="17"/>
      <c r="Q3" s="17"/>
      <c r="R3" s="17"/>
      <c r="S3" s="17"/>
      <c r="T3" s="6"/>
      <c r="U3" s="17"/>
      <c r="V3" s="6"/>
      <c r="W3" s="17"/>
      <c r="X3" s="17"/>
      <c r="Y3" s="17"/>
      <c r="Z3" s="17"/>
      <c r="AA3" s="17"/>
      <c r="AB3" s="17" t="n">
        <v>1</v>
      </c>
      <c r="AC3" s="6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6"/>
      <c r="BA3" s="17"/>
    </row>
    <row r="4" customFormat="false" ht="15" hidden="false" customHeight="false" outlineLevel="0" collapsed="false">
      <c r="A4" s="17" t="s">
        <v>72</v>
      </c>
      <c r="B4" s="17" t="s">
        <v>73</v>
      </c>
      <c r="C4" s="18" t="n">
        <f aca="false">emissions!B3</f>
        <v>0</v>
      </c>
      <c r="D4" s="17" t="n">
        <v>1</v>
      </c>
      <c r="E4" s="17"/>
      <c r="F4" s="17" t="n">
        <v>1</v>
      </c>
      <c r="G4" s="17"/>
      <c r="H4" s="17"/>
      <c r="I4" s="17"/>
      <c r="J4" s="17"/>
      <c r="K4" s="17"/>
      <c r="L4" s="17"/>
      <c r="M4" s="17"/>
      <c r="N4" s="17" t="n">
        <v>1</v>
      </c>
      <c r="O4" s="17"/>
      <c r="P4" s="17"/>
      <c r="Q4" s="17"/>
      <c r="R4" s="17"/>
      <c r="S4" s="17"/>
      <c r="T4" s="6"/>
      <c r="U4" s="17"/>
      <c r="V4" s="6"/>
      <c r="W4" s="17"/>
      <c r="X4" s="17"/>
      <c r="Y4" s="17"/>
      <c r="Z4" s="17"/>
      <c r="AA4" s="17"/>
      <c r="AB4" s="17" t="n">
        <v>1</v>
      </c>
      <c r="AC4" s="6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6"/>
      <c r="BA4" s="17"/>
    </row>
    <row r="5" customFormat="false" ht="15" hidden="false" customHeight="false" outlineLevel="0" collapsed="false">
      <c r="A5" s="17" t="s">
        <v>74</v>
      </c>
      <c r="B5" s="17" t="s">
        <v>75</v>
      </c>
      <c r="C5" s="18" t="n">
        <f aca="false">emissions!B4</f>
        <v>0</v>
      </c>
      <c r="D5" s="17" t="n">
        <v>1</v>
      </c>
      <c r="E5" s="17"/>
      <c r="F5" s="17" t="n">
        <v>1</v>
      </c>
      <c r="G5" s="17"/>
      <c r="H5" s="17"/>
      <c r="I5" s="17"/>
      <c r="J5" s="17"/>
      <c r="K5" s="17"/>
      <c r="L5" s="17"/>
      <c r="M5" s="17"/>
      <c r="N5" s="17" t="n">
        <v>1</v>
      </c>
      <c r="O5" s="17"/>
      <c r="P5" s="17"/>
      <c r="Q5" s="17"/>
      <c r="R5" s="17"/>
      <c r="S5" s="17"/>
      <c r="T5" s="6"/>
      <c r="U5" s="17"/>
      <c r="V5" s="6"/>
      <c r="W5" s="17"/>
      <c r="X5" s="17"/>
      <c r="Y5" s="17"/>
      <c r="Z5" s="17"/>
      <c r="AA5" s="17"/>
      <c r="AB5" s="17" t="n">
        <v>1</v>
      </c>
      <c r="AC5" s="6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6"/>
      <c r="BA5" s="17"/>
    </row>
    <row r="6" customFormat="false" ht="15" hidden="false" customHeight="false" outlineLevel="0" collapsed="false">
      <c r="A6" s="17" t="s">
        <v>76</v>
      </c>
      <c r="B6" s="17" t="s">
        <v>77</v>
      </c>
      <c r="C6" s="18" t="n">
        <f aca="false">emissions!B5</f>
        <v>0</v>
      </c>
      <c r="D6" s="17" t="n">
        <v>1</v>
      </c>
      <c r="E6" s="17"/>
      <c r="F6" s="17" t="n">
        <v>1</v>
      </c>
      <c r="G6" s="17"/>
      <c r="H6" s="17"/>
      <c r="I6" s="17"/>
      <c r="J6" s="17"/>
      <c r="K6" s="17"/>
      <c r="L6" s="17"/>
      <c r="M6" s="17"/>
      <c r="N6" s="17" t="n">
        <v>1</v>
      </c>
      <c r="O6" s="17"/>
      <c r="P6" s="17"/>
      <c r="Q6" s="17"/>
      <c r="R6" s="17"/>
      <c r="S6" s="17"/>
      <c r="T6" s="6"/>
      <c r="U6" s="17"/>
      <c r="V6" s="6"/>
      <c r="W6" s="17"/>
      <c r="X6" s="17"/>
      <c r="Y6" s="17"/>
      <c r="Z6" s="17"/>
      <c r="AA6" s="17"/>
      <c r="AB6" s="17" t="n">
        <v>1</v>
      </c>
      <c r="AC6" s="6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6"/>
      <c r="BA6" s="17"/>
    </row>
    <row r="7" customFormat="false" ht="15" hidden="false" customHeight="false" outlineLevel="0" collapsed="false">
      <c r="A7" s="17" t="s">
        <v>78</v>
      </c>
      <c r="B7" s="17" t="s">
        <v>79</v>
      </c>
      <c r="C7" s="18" t="n">
        <f aca="false">emissions!B6</f>
        <v>0</v>
      </c>
      <c r="D7" s="17" t="n">
        <v>1</v>
      </c>
      <c r="E7" s="17"/>
      <c r="F7" s="17" t="n">
        <v>1</v>
      </c>
      <c r="G7" s="17"/>
      <c r="H7" s="17"/>
      <c r="I7" s="17"/>
      <c r="J7" s="17"/>
      <c r="K7" s="17"/>
      <c r="L7" s="17"/>
      <c r="M7" s="17"/>
      <c r="N7" s="17" t="n">
        <v>1</v>
      </c>
      <c r="O7" s="17"/>
      <c r="P7" s="17"/>
      <c r="Q7" s="17"/>
      <c r="R7" s="17"/>
      <c r="S7" s="17"/>
      <c r="T7" s="6"/>
      <c r="U7" s="17"/>
      <c r="V7" s="6"/>
      <c r="W7" s="17"/>
      <c r="X7" s="17"/>
      <c r="Y7" s="17"/>
      <c r="Z7" s="17"/>
      <c r="AA7" s="17"/>
      <c r="AB7" s="17" t="n">
        <v>1</v>
      </c>
      <c r="AC7" s="6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6"/>
      <c r="BA7" s="17"/>
    </row>
    <row r="8" customFormat="false" ht="15" hidden="false" customHeight="false" outlineLevel="0" collapsed="false">
      <c r="A8" s="17" t="s">
        <v>80</v>
      </c>
      <c r="B8" s="17" t="s">
        <v>81</v>
      </c>
      <c r="C8" s="18" t="n">
        <f aca="false">emissions!B7</f>
        <v>0</v>
      </c>
      <c r="D8" s="17" t="n">
        <v>1</v>
      </c>
      <c r="E8" s="17"/>
      <c r="F8" s="17" t="n">
        <v>1</v>
      </c>
      <c r="G8" s="17"/>
      <c r="H8" s="17"/>
      <c r="I8" s="17"/>
      <c r="J8" s="17"/>
      <c r="K8" s="17"/>
      <c r="L8" s="17"/>
      <c r="M8" s="17"/>
      <c r="N8" s="17" t="n">
        <v>1</v>
      </c>
      <c r="O8" s="17"/>
      <c r="P8" s="17"/>
      <c r="Q8" s="17"/>
      <c r="R8" s="17"/>
      <c r="S8" s="17"/>
      <c r="T8" s="6"/>
      <c r="U8" s="17"/>
      <c r="V8" s="6"/>
      <c r="W8" s="17"/>
      <c r="X8" s="17"/>
      <c r="Y8" s="17"/>
      <c r="Z8" s="17"/>
      <c r="AA8" s="17"/>
      <c r="AB8" s="17" t="n">
        <v>1</v>
      </c>
      <c r="AC8" s="6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6"/>
      <c r="BA8" s="17"/>
    </row>
    <row r="9" customFormat="false" ht="15" hidden="false" customHeight="false" outlineLevel="0" collapsed="false">
      <c r="A9" s="17" t="s">
        <v>82</v>
      </c>
      <c r="B9" s="17" t="s">
        <v>83</v>
      </c>
      <c r="C9" s="18" t="n">
        <f aca="false">emissions!B8</f>
        <v>0</v>
      </c>
      <c r="D9" s="17" t="n">
        <v>1</v>
      </c>
      <c r="E9" s="17"/>
      <c r="F9" s="17" t="n">
        <v>1</v>
      </c>
      <c r="G9" s="17"/>
      <c r="H9" s="17"/>
      <c r="I9" s="17"/>
      <c r="J9" s="17"/>
      <c r="K9" s="17"/>
      <c r="L9" s="17"/>
      <c r="M9" s="17"/>
      <c r="N9" s="17" t="n">
        <v>1</v>
      </c>
      <c r="O9" s="17"/>
      <c r="P9" s="17"/>
      <c r="Q9" s="17"/>
      <c r="R9" s="17"/>
      <c r="S9" s="17"/>
      <c r="T9" s="6"/>
      <c r="U9" s="17"/>
      <c r="V9" s="6"/>
      <c r="W9" s="17"/>
      <c r="X9" s="17"/>
      <c r="Y9" s="17"/>
      <c r="Z9" s="17"/>
      <c r="AA9" s="17"/>
      <c r="AB9" s="17" t="n">
        <v>1</v>
      </c>
      <c r="AC9" s="6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6"/>
      <c r="BA9" s="17"/>
    </row>
    <row r="10" customFormat="false" ht="15" hidden="false" customHeight="false" outlineLevel="0" collapsed="false">
      <c r="A10" s="17" t="s">
        <v>84</v>
      </c>
      <c r="B10" s="17" t="s">
        <v>85</v>
      </c>
      <c r="C10" s="18" t="n">
        <f aca="false">emissions!B9</f>
        <v>0</v>
      </c>
      <c r="D10" s="17" t="n">
        <v>1</v>
      </c>
      <c r="E10" s="17"/>
      <c r="F10" s="17" t="n">
        <v>1</v>
      </c>
      <c r="G10" s="17"/>
      <c r="H10" s="17"/>
      <c r="I10" s="17"/>
      <c r="J10" s="17"/>
      <c r="K10" s="17"/>
      <c r="L10" s="17"/>
      <c r="M10" s="17"/>
      <c r="N10" s="17" t="n">
        <v>1</v>
      </c>
      <c r="O10" s="17"/>
      <c r="P10" s="17"/>
      <c r="Q10" s="17"/>
      <c r="R10" s="17"/>
      <c r="S10" s="17"/>
      <c r="T10" s="6"/>
      <c r="U10" s="17"/>
      <c r="V10" s="6"/>
      <c r="W10" s="17"/>
      <c r="X10" s="17"/>
      <c r="Y10" s="17"/>
      <c r="Z10" s="17"/>
      <c r="AA10" s="17"/>
      <c r="AB10" s="17" t="n">
        <v>1</v>
      </c>
      <c r="AC10" s="6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6"/>
      <c r="BA10" s="17"/>
    </row>
    <row r="11" customFormat="false" ht="15" hidden="false" customHeight="false" outlineLevel="0" collapsed="false">
      <c r="A11" s="17" t="s">
        <v>86</v>
      </c>
      <c r="B11" s="17" t="s">
        <v>87</v>
      </c>
      <c r="C11" s="18" t="n">
        <f aca="false">emissions!B10</f>
        <v>0</v>
      </c>
      <c r="D11" s="17" t="n">
        <v>1</v>
      </c>
      <c r="E11" s="17"/>
      <c r="F11" s="17" t="n">
        <v>1</v>
      </c>
      <c r="G11" s="17"/>
      <c r="H11" s="17"/>
      <c r="I11" s="17"/>
      <c r="J11" s="17"/>
      <c r="K11" s="17"/>
      <c r="L11" s="17"/>
      <c r="M11" s="17"/>
      <c r="N11" s="17" t="n">
        <v>1</v>
      </c>
      <c r="O11" s="17"/>
      <c r="P11" s="17"/>
      <c r="Q11" s="17"/>
      <c r="R11" s="17"/>
      <c r="S11" s="17"/>
      <c r="T11" s="6"/>
      <c r="U11" s="17"/>
      <c r="V11" s="6"/>
      <c r="W11" s="17"/>
      <c r="X11" s="17"/>
      <c r="Y11" s="17"/>
      <c r="Z11" s="17"/>
      <c r="AA11" s="17"/>
      <c r="AB11" s="17" t="n">
        <v>1</v>
      </c>
      <c r="AC11" s="6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6"/>
      <c r="BA11" s="17"/>
    </row>
    <row r="12" customFormat="false" ht="15" hidden="false" customHeight="false" outlineLevel="0" collapsed="false">
      <c r="A12" s="17" t="s">
        <v>88</v>
      </c>
      <c r="B12" s="17" t="s">
        <v>89</v>
      </c>
      <c r="C12" s="18" t="n">
        <f aca="false">emissions!B11</f>
        <v>0</v>
      </c>
      <c r="D12" s="17" t="n">
        <v>1</v>
      </c>
      <c r="E12" s="17"/>
      <c r="F12" s="17" t="n">
        <v>1</v>
      </c>
      <c r="G12" s="17"/>
      <c r="H12" s="17"/>
      <c r="I12" s="17"/>
      <c r="J12" s="17"/>
      <c r="K12" s="17"/>
      <c r="L12" s="17"/>
      <c r="M12" s="17"/>
      <c r="N12" s="17" t="n">
        <v>1</v>
      </c>
      <c r="O12" s="17"/>
      <c r="P12" s="17"/>
      <c r="Q12" s="17"/>
      <c r="R12" s="17"/>
      <c r="S12" s="17"/>
      <c r="T12" s="6"/>
      <c r="U12" s="17"/>
      <c r="V12" s="6"/>
      <c r="W12" s="17"/>
      <c r="X12" s="17"/>
      <c r="Y12" s="17"/>
      <c r="Z12" s="17"/>
      <c r="AA12" s="17"/>
      <c r="AB12" s="17" t="n">
        <v>1</v>
      </c>
      <c r="AC12" s="6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6"/>
      <c r="BA12" s="17"/>
    </row>
    <row r="13" customFormat="false" ht="15" hidden="false" customHeight="false" outlineLevel="0" collapsed="false">
      <c r="A13" s="17" t="s">
        <v>90</v>
      </c>
      <c r="B13" s="17" t="s">
        <v>91</v>
      </c>
      <c r="C13" s="18" t="n">
        <f aca="false">emissions!B12</f>
        <v>0</v>
      </c>
      <c r="D13" s="17" t="n">
        <v>1</v>
      </c>
      <c r="E13" s="17"/>
      <c r="F13" s="17" t="n">
        <v>1</v>
      </c>
      <c r="G13" s="17"/>
      <c r="H13" s="17"/>
      <c r="I13" s="17"/>
      <c r="J13" s="17"/>
      <c r="K13" s="17"/>
      <c r="L13" s="17"/>
      <c r="M13" s="17"/>
      <c r="N13" s="17" t="n">
        <v>1</v>
      </c>
      <c r="O13" s="17"/>
      <c r="P13" s="17"/>
      <c r="Q13" s="17"/>
      <c r="R13" s="17"/>
      <c r="S13" s="17"/>
      <c r="T13" s="6"/>
      <c r="U13" s="17"/>
      <c r="V13" s="6"/>
      <c r="W13" s="17"/>
      <c r="X13" s="17"/>
      <c r="Y13" s="17"/>
      <c r="Z13" s="17"/>
      <c r="AA13" s="17"/>
      <c r="AB13" s="17" t="n">
        <v>1</v>
      </c>
      <c r="AC13" s="6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6"/>
      <c r="BA13" s="17"/>
    </row>
    <row r="14" customFormat="false" ht="15" hidden="false" customHeight="false" outlineLevel="0" collapsed="false">
      <c r="A14" s="17" t="s">
        <v>92</v>
      </c>
      <c r="B14" s="17" t="s">
        <v>93</v>
      </c>
      <c r="C14" s="18" t="n">
        <f aca="false">emissions!B13</f>
        <v>0</v>
      </c>
      <c r="D14" s="17" t="n">
        <v>1</v>
      </c>
      <c r="E14" s="17"/>
      <c r="F14" s="17" t="n">
        <v>1</v>
      </c>
      <c r="G14" s="17"/>
      <c r="H14" s="17"/>
      <c r="I14" s="17"/>
      <c r="J14" s="17"/>
      <c r="K14" s="17"/>
      <c r="L14" s="17"/>
      <c r="M14" s="17"/>
      <c r="N14" s="17" t="n">
        <v>1</v>
      </c>
      <c r="O14" s="17"/>
      <c r="P14" s="17"/>
      <c r="Q14" s="17"/>
      <c r="R14" s="17"/>
      <c r="S14" s="17"/>
      <c r="T14" s="6"/>
      <c r="U14" s="17"/>
      <c r="V14" s="6"/>
      <c r="W14" s="17"/>
      <c r="X14" s="17"/>
      <c r="Y14" s="17"/>
      <c r="Z14" s="17"/>
      <c r="AA14" s="17"/>
      <c r="AB14" s="17" t="n">
        <v>1</v>
      </c>
      <c r="AC14" s="6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6"/>
      <c r="BA14" s="17"/>
    </row>
    <row r="15" customFormat="false" ht="15" hidden="false" customHeight="false" outlineLevel="0" collapsed="false">
      <c r="A15" s="17" t="s">
        <v>94</v>
      </c>
      <c r="B15" s="17" t="s">
        <v>95</v>
      </c>
      <c r="C15" s="18" t="n">
        <f aca="false">emissions!B14</f>
        <v>0</v>
      </c>
      <c r="D15" s="17" t="n">
        <v>1</v>
      </c>
      <c r="E15" s="17"/>
      <c r="F15" s="17" t="n">
        <v>1</v>
      </c>
      <c r="G15" s="17"/>
      <c r="H15" s="17"/>
      <c r="I15" s="17"/>
      <c r="J15" s="17"/>
      <c r="K15" s="17"/>
      <c r="L15" s="17"/>
      <c r="M15" s="17"/>
      <c r="N15" s="17" t="n">
        <v>1</v>
      </c>
      <c r="O15" s="17"/>
      <c r="P15" s="17"/>
      <c r="Q15" s="17"/>
      <c r="R15" s="17"/>
      <c r="S15" s="17"/>
      <c r="T15" s="6"/>
      <c r="U15" s="17"/>
      <c r="V15" s="6"/>
      <c r="W15" s="17"/>
      <c r="X15" s="17"/>
      <c r="Y15" s="17"/>
      <c r="Z15" s="17"/>
      <c r="AA15" s="17"/>
      <c r="AB15" s="17" t="n">
        <v>1</v>
      </c>
      <c r="AC15" s="6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6"/>
      <c r="BA15" s="17"/>
    </row>
    <row r="16" customFormat="false" ht="15" hidden="false" customHeight="false" outlineLevel="0" collapsed="false">
      <c r="A16" s="17" t="s">
        <v>96</v>
      </c>
      <c r="B16" s="17" t="s">
        <v>97</v>
      </c>
      <c r="C16" s="18" t="n">
        <f aca="false">emissions!B15</f>
        <v>0</v>
      </c>
      <c r="D16" s="17" t="n">
        <v>1</v>
      </c>
      <c r="E16" s="17"/>
      <c r="F16" s="17" t="n">
        <v>1</v>
      </c>
      <c r="G16" s="17"/>
      <c r="H16" s="17"/>
      <c r="I16" s="17"/>
      <c r="J16" s="17"/>
      <c r="K16" s="17"/>
      <c r="L16" s="17"/>
      <c r="M16" s="17"/>
      <c r="N16" s="17" t="n">
        <v>1</v>
      </c>
      <c r="O16" s="17"/>
      <c r="P16" s="17"/>
      <c r="Q16" s="17"/>
      <c r="R16" s="17"/>
      <c r="S16" s="17"/>
      <c r="T16" s="6"/>
      <c r="U16" s="17"/>
      <c r="V16" s="6"/>
      <c r="W16" s="17"/>
      <c r="X16" s="17"/>
      <c r="Y16" s="17"/>
      <c r="Z16" s="17"/>
      <c r="AA16" s="17"/>
      <c r="AB16" s="17" t="n">
        <v>1</v>
      </c>
      <c r="AC16" s="6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6"/>
      <c r="BA16" s="17"/>
    </row>
    <row r="17" customFormat="false" ht="15" hidden="false" customHeight="false" outlineLevel="0" collapsed="false">
      <c r="A17" s="17" t="s">
        <v>98</v>
      </c>
      <c r="B17" s="17" t="s">
        <v>99</v>
      </c>
      <c r="C17" s="18" t="n">
        <f aca="false">emissions!B16</f>
        <v>0</v>
      </c>
      <c r="D17" s="17" t="n">
        <v>1</v>
      </c>
      <c r="E17" s="17"/>
      <c r="F17" s="17" t="n">
        <v>1</v>
      </c>
      <c r="G17" s="17"/>
      <c r="H17" s="17"/>
      <c r="I17" s="17"/>
      <c r="J17" s="17"/>
      <c r="K17" s="17"/>
      <c r="L17" s="17"/>
      <c r="M17" s="17"/>
      <c r="N17" s="17" t="n">
        <v>1</v>
      </c>
      <c r="O17" s="17"/>
      <c r="P17" s="17"/>
      <c r="Q17" s="17"/>
      <c r="R17" s="17"/>
      <c r="S17" s="17"/>
      <c r="T17" s="6"/>
      <c r="U17" s="17"/>
      <c r="V17" s="6"/>
      <c r="W17" s="17"/>
      <c r="X17" s="17"/>
      <c r="Y17" s="17"/>
      <c r="Z17" s="17"/>
      <c r="AA17" s="17"/>
      <c r="AB17" s="17" t="n">
        <v>1</v>
      </c>
      <c r="AC17" s="6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6"/>
      <c r="BA17" s="17"/>
    </row>
    <row r="18" customFormat="false" ht="15" hidden="false" customHeight="false" outlineLevel="0" collapsed="false">
      <c r="A18" s="17" t="s">
        <v>100</v>
      </c>
      <c r="B18" s="17" t="s">
        <v>101</v>
      </c>
      <c r="C18" s="18" t="n">
        <f aca="false">emissions!B17</f>
        <v>0</v>
      </c>
      <c r="D18" s="17" t="n">
        <v>1</v>
      </c>
      <c r="E18" s="17"/>
      <c r="F18" s="17" t="n">
        <v>1</v>
      </c>
      <c r="G18" s="17"/>
      <c r="H18" s="17"/>
      <c r="I18" s="17"/>
      <c r="J18" s="17"/>
      <c r="K18" s="17"/>
      <c r="L18" s="17"/>
      <c r="M18" s="17"/>
      <c r="N18" s="17" t="n">
        <v>1</v>
      </c>
      <c r="O18" s="17"/>
      <c r="P18" s="17"/>
      <c r="Q18" s="17"/>
      <c r="R18" s="17"/>
      <c r="S18" s="17"/>
      <c r="T18" s="6"/>
      <c r="U18" s="17"/>
      <c r="V18" s="6"/>
      <c r="W18" s="17"/>
      <c r="X18" s="17"/>
      <c r="Y18" s="17"/>
      <c r="Z18" s="17"/>
      <c r="AA18" s="17"/>
      <c r="AB18" s="17" t="n">
        <v>1</v>
      </c>
      <c r="AC18" s="6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6"/>
      <c r="BA18" s="17"/>
    </row>
    <row r="19" customFormat="false" ht="15" hidden="false" customHeight="false" outlineLevel="0" collapsed="false">
      <c r="A19" s="17" t="s">
        <v>102</v>
      </c>
      <c r="B19" s="17" t="s">
        <v>103</v>
      </c>
      <c r="C19" s="18" t="n">
        <f aca="false">emissions!B18</f>
        <v>0</v>
      </c>
      <c r="D19" s="17" t="n">
        <v>1</v>
      </c>
      <c r="E19" s="17"/>
      <c r="F19" s="17" t="n">
        <v>1</v>
      </c>
      <c r="G19" s="17"/>
      <c r="H19" s="17"/>
      <c r="I19" s="17"/>
      <c r="J19" s="17"/>
      <c r="K19" s="17"/>
      <c r="L19" s="17"/>
      <c r="M19" s="17"/>
      <c r="N19" s="17" t="n">
        <v>1</v>
      </c>
      <c r="O19" s="17"/>
      <c r="P19" s="17"/>
      <c r="Q19" s="17"/>
      <c r="R19" s="17"/>
      <c r="S19" s="17"/>
      <c r="T19" s="6"/>
      <c r="U19" s="17"/>
      <c r="V19" s="6"/>
      <c r="W19" s="17"/>
      <c r="X19" s="17"/>
      <c r="Y19" s="17"/>
      <c r="Z19" s="17"/>
      <c r="AA19" s="17"/>
      <c r="AB19" s="17" t="n">
        <v>1</v>
      </c>
      <c r="AC19" s="6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6"/>
      <c r="BA19" s="17"/>
    </row>
    <row r="20" customFormat="false" ht="15" hidden="false" customHeight="false" outlineLevel="0" collapsed="false">
      <c r="A20" s="17" t="s">
        <v>104</v>
      </c>
      <c r="B20" s="17" t="s">
        <v>105</v>
      </c>
      <c r="C20" s="18" t="n">
        <f aca="false">emissions!B19</f>
        <v>0</v>
      </c>
      <c r="D20" s="17" t="n">
        <v>1</v>
      </c>
      <c r="E20" s="17"/>
      <c r="F20" s="17" t="n">
        <v>1</v>
      </c>
      <c r="G20" s="17"/>
      <c r="H20" s="17" t="n">
        <v>1</v>
      </c>
      <c r="I20" s="17"/>
      <c r="J20" s="17"/>
      <c r="K20" s="17"/>
      <c r="L20" s="17"/>
      <c r="M20" s="17"/>
      <c r="N20" s="17" t="n">
        <v>1</v>
      </c>
      <c r="O20" s="17"/>
      <c r="P20" s="17"/>
      <c r="Q20" s="17"/>
      <c r="R20" s="17"/>
      <c r="S20" s="17"/>
      <c r="T20" s="6"/>
      <c r="U20" s="17"/>
      <c r="V20" s="6"/>
      <c r="W20" s="17"/>
      <c r="X20" s="17"/>
      <c r="Y20" s="17"/>
      <c r="Z20" s="17"/>
      <c r="AA20" s="17"/>
      <c r="AB20" s="17" t="n">
        <v>1</v>
      </c>
      <c r="AC20" s="6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6"/>
      <c r="BA20" s="17"/>
    </row>
    <row r="21" customFormat="false" ht="15" hidden="false" customHeight="false" outlineLevel="0" collapsed="false">
      <c r="A21" s="17" t="s">
        <v>106</v>
      </c>
      <c r="B21" s="17" t="s">
        <v>107</v>
      </c>
      <c r="C21" s="18" t="n">
        <f aca="false">emissions!B20</f>
        <v>0</v>
      </c>
      <c r="D21" s="17" t="n">
        <v>1</v>
      </c>
      <c r="E21" s="17"/>
      <c r="F21" s="17" t="n">
        <v>1</v>
      </c>
      <c r="G21" s="17"/>
      <c r="H21" s="17" t="n">
        <v>1</v>
      </c>
      <c r="I21" s="17"/>
      <c r="J21" s="17"/>
      <c r="K21" s="17"/>
      <c r="L21" s="17"/>
      <c r="M21" s="17"/>
      <c r="N21" s="17" t="n">
        <v>1</v>
      </c>
      <c r="O21" s="17"/>
      <c r="P21" s="17"/>
      <c r="Q21" s="17"/>
      <c r="R21" s="17"/>
      <c r="S21" s="17"/>
      <c r="T21" s="6"/>
      <c r="U21" s="17"/>
      <c r="V21" s="6"/>
      <c r="W21" s="17"/>
      <c r="X21" s="17"/>
      <c r="Y21" s="17"/>
      <c r="Z21" s="17"/>
      <c r="AA21" s="17"/>
      <c r="AB21" s="17" t="n">
        <v>1</v>
      </c>
      <c r="AC21" s="6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6"/>
      <c r="BA21" s="17"/>
    </row>
    <row r="22" customFormat="false" ht="15" hidden="false" customHeight="false" outlineLevel="0" collapsed="false">
      <c r="A22" s="17" t="s">
        <v>108</v>
      </c>
      <c r="B22" s="17" t="s">
        <v>109</v>
      </c>
      <c r="C22" s="18" t="n">
        <f aca="false">emissions!B21</f>
        <v>0</v>
      </c>
      <c r="D22" s="17" t="n">
        <v>1</v>
      </c>
      <c r="E22" s="17"/>
      <c r="F22" s="17" t="n">
        <v>1</v>
      </c>
      <c r="G22" s="17"/>
      <c r="H22" s="17" t="n">
        <v>1</v>
      </c>
      <c r="I22" s="17"/>
      <c r="J22" s="17"/>
      <c r="K22" s="17"/>
      <c r="L22" s="17"/>
      <c r="M22" s="17"/>
      <c r="N22" s="17" t="n">
        <v>1</v>
      </c>
      <c r="O22" s="17"/>
      <c r="P22" s="17"/>
      <c r="Q22" s="17"/>
      <c r="R22" s="17"/>
      <c r="S22" s="17"/>
      <c r="T22" s="6"/>
      <c r="U22" s="17"/>
      <c r="V22" s="6"/>
      <c r="W22" s="17"/>
      <c r="X22" s="17"/>
      <c r="Y22" s="17"/>
      <c r="Z22" s="17"/>
      <c r="AA22" s="17"/>
      <c r="AB22" s="17" t="n">
        <v>1</v>
      </c>
      <c r="AC22" s="6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6"/>
      <c r="BA22" s="17"/>
    </row>
    <row r="23" customFormat="false" ht="15" hidden="false" customHeight="false" outlineLevel="0" collapsed="false">
      <c r="A23" s="17" t="s">
        <v>110</v>
      </c>
      <c r="B23" s="17" t="s">
        <v>111</v>
      </c>
      <c r="C23" s="18" t="n">
        <f aca="false">emissions!B22</f>
        <v>0</v>
      </c>
      <c r="D23" s="17" t="n">
        <v>1</v>
      </c>
      <c r="E23" s="17"/>
      <c r="F23" s="17" t="n">
        <v>1</v>
      </c>
      <c r="G23" s="17"/>
      <c r="H23" s="17" t="n">
        <v>1</v>
      </c>
      <c r="I23" s="17"/>
      <c r="J23" s="17"/>
      <c r="K23" s="17"/>
      <c r="L23" s="17"/>
      <c r="M23" s="17"/>
      <c r="N23" s="17" t="n">
        <v>1</v>
      </c>
      <c r="O23" s="17"/>
      <c r="P23" s="17"/>
      <c r="Q23" s="17"/>
      <c r="R23" s="17"/>
      <c r="S23" s="17"/>
      <c r="T23" s="6"/>
      <c r="U23" s="17"/>
      <c r="V23" s="6"/>
      <c r="W23" s="17"/>
      <c r="X23" s="17"/>
      <c r="Y23" s="17"/>
      <c r="Z23" s="17"/>
      <c r="AA23" s="17"/>
      <c r="AB23" s="17" t="n">
        <v>1</v>
      </c>
      <c r="AC23" s="6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6"/>
      <c r="BA23" s="17"/>
    </row>
    <row r="24" customFormat="false" ht="15" hidden="false" customHeight="false" outlineLevel="0" collapsed="false">
      <c r="A24" s="17" t="s">
        <v>112</v>
      </c>
      <c r="B24" s="17" t="s">
        <v>113</v>
      </c>
      <c r="C24" s="18" t="n">
        <f aca="false">emissions!B23</f>
        <v>0</v>
      </c>
      <c r="D24" s="17" t="n">
        <v>1</v>
      </c>
      <c r="E24" s="17"/>
      <c r="F24" s="17" t="n">
        <v>1</v>
      </c>
      <c r="G24" s="17"/>
      <c r="H24" s="17" t="n">
        <v>1</v>
      </c>
      <c r="I24" s="17"/>
      <c r="J24" s="17"/>
      <c r="K24" s="17"/>
      <c r="L24" s="17"/>
      <c r="M24" s="17"/>
      <c r="N24" s="17" t="n">
        <v>1</v>
      </c>
      <c r="O24" s="17"/>
      <c r="P24" s="17"/>
      <c r="Q24" s="17"/>
      <c r="R24" s="17"/>
      <c r="S24" s="17"/>
      <c r="T24" s="6"/>
      <c r="U24" s="17"/>
      <c r="V24" s="6"/>
      <c r="W24" s="17"/>
      <c r="X24" s="17"/>
      <c r="Y24" s="17"/>
      <c r="Z24" s="17"/>
      <c r="AA24" s="17"/>
      <c r="AB24" s="17" t="n">
        <v>1</v>
      </c>
      <c r="AC24" s="6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6"/>
      <c r="BA24" s="17"/>
    </row>
    <row r="25" customFormat="false" ht="15" hidden="false" customHeight="false" outlineLevel="0" collapsed="false">
      <c r="A25" s="17" t="s">
        <v>114</v>
      </c>
      <c r="B25" s="17" t="s">
        <v>115</v>
      </c>
      <c r="C25" s="18" t="n">
        <f aca="false">emissions!B24</f>
        <v>0</v>
      </c>
      <c r="D25" s="17" t="n">
        <v>1</v>
      </c>
      <c r="E25" s="17"/>
      <c r="F25" s="17" t="n">
        <v>1</v>
      </c>
      <c r="G25" s="17"/>
      <c r="H25" s="17" t="n">
        <v>1</v>
      </c>
      <c r="I25" s="17"/>
      <c r="J25" s="17"/>
      <c r="K25" s="17"/>
      <c r="L25" s="17"/>
      <c r="M25" s="17"/>
      <c r="N25" s="17" t="n">
        <v>1</v>
      </c>
      <c r="O25" s="17"/>
      <c r="P25" s="17"/>
      <c r="Q25" s="17"/>
      <c r="R25" s="17"/>
      <c r="S25" s="17"/>
      <c r="T25" s="6"/>
      <c r="U25" s="17"/>
      <c r="V25" s="6"/>
      <c r="W25" s="17"/>
      <c r="X25" s="17"/>
      <c r="Y25" s="17"/>
      <c r="Z25" s="17"/>
      <c r="AA25" s="17"/>
      <c r="AB25" s="17" t="n">
        <v>1</v>
      </c>
      <c r="AC25" s="6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6"/>
      <c r="BA25" s="17"/>
    </row>
    <row r="26" customFormat="false" ht="15" hidden="false" customHeight="false" outlineLevel="0" collapsed="false">
      <c r="A26" s="17" t="s">
        <v>116</v>
      </c>
      <c r="B26" s="17" t="s">
        <v>117</v>
      </c>
      <c r="C26" s="18" t="n">
        <f aca="false">emissions!B25</f>
        <v>0</v>
      </c>
      <c r="D26" s="17" t="n">
        <v>1</v>
      </c>
      <c r="E26" s="17"/>
      <c r="F26" s="17" t="n">
        <v>1</v>
      </c>
      <c r="G26" s="17"/>
      <c r="H26" s="17" t="n">
        <v>1</v>
      </c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6"/>
      <c r="U26" s="17"/>
      <c r="V26" s="6"/>
      <c r="W26" s="17"/>
      <c r="X26" s="17"/>
      <c r="Y26" s="17"/>
      <c r="Z26" s="17"/>
      <c r="AA26" s="17"/>
      <c r="AB26" s="17"/>
      <c r="AC26" s="6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6"/>
      <c r="BA26" s="17"/>
    </row>
    <row r="27" customFormat="false" ht="15" hidden="false" customHeight="false" outlineLevel="0" collapsed="false">
      <c r="A27" s="17" t="s">
        <v>118</v>
      </c>
      <c r="B27" s="17" t="s">
        <v>119</v>
      </c>
      <c r="C27" s="18" t="n">
        <f aca="false">emissions!B26</f>
        <v>0</v>
      </c>
      <c r="D27" s="17" t="n">
        <v>1</v>
      </c>
      <c r="E27" s="17"/>
      <c r="F27" s="17" t="n">
        <v>1</v>
      </c>
      <c r="G27" s="17"/>
      <c r="H27" s="17" t="n">
        <v>1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6"/>
      <c r="U27" s="17"/>
      <c r="V27" s="6"/>
      <c r="W27" s="17"/>
      <c r="X27" s="17"/>
      <c r="Y27" s="17"/>
      <c r="Z27" s="17"/>
      <c r="AA27" s="17"/>
      <c r="AB27" s="17"/>
      <c r="AC27" s="6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6"/>
      <c r="BA27" s="17"/>
    </row>
    <row r="28" customFormat="false" ht="15" hidden="false" customHeight="false" outlineLevel="0" collapsed="false">
      <c r="A28" s="17" t="s">
        <v>120</v>
      </c>
      <c r="B28" s="17" t="s">
        <v>121</v>
      </c>
      <c r="C28" s="18" t="n">
        <f aca="false">emissions!B27</f>
        <v>0</v>
      </c>
      <c r="D28" s="17" t="n">
        <v>1</v>
      </c>
      <c r="E28" s="17"/>
      <c r="F28" s="17" t="n">
        <v>1</v>
      </c>
      <c r="G28" s="17"/>
      <c r="H28" s="17" t="n">
        <v>1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6"/>
      <c r="U28" s="17"/>
      <c r="V28" s="6"/>
      <c r="W28" s="17"/>
      <c r="X28" s="17"/>
      <c r="Y28" s="17"/>
      <c r="Z28" s="17"/>
      <c r="AA28" s="17"/>
      <c r="AB28" s="17"/>
      <c r="AC28" s="6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6"/>
      <c r="BA28" s="17"/>
    </row>
    <row r="29" customFormat="false" ht="15" hidden="false" customHeight="false" outlineLevel="0" collapsed="false">
      <c r="A29" s="17" t="s">
        <v>122</v>
      </c>
      <c r="B29" s="17" t="s">
        <v>123</v>
      </c>
      <c r="C29" s="18" t="n">
        <f aca="false">emissions!B28</f>
        <v>0</v>
      </c>
      <c r="D29" s="17" t="n">
        <v>1</v>
      </c>
      <c r="E29" s="17"/>
      <c r="F29" s="17" t="n">
        <v>1</v>
      </c>
      <c r="G29" s="17"/>
      <c r="H29" s="17" t="n">
        <v>1</v>
      </c>
      <c r="I29" s="17" t="n">
        <v>1</v>
      </c>
      <c r="J29" s="17" t="n">
        <v>1</v>
      </c>
      <c r="K29" s="17" t="n">
        <v>1</v>
      </c>
      <c r="L29" s="17"/>
      <c r="M29" s="17"/>
      <c r="N29" s="17" t="n">
        <v>1</v>
      </c>
      <c r="O29" s="17" t="n">
        <v>1</v>
      </c>
      <c r="P29" s="17" t="n">
        <v>1</v>
      </c>
      <c r="Q29" s="17" t="n">
        <v>1</v>
      </c>
      <c r="R29" s="17" t="n">
        <v>1</v>
      </c>
      <c r="S29" s="17" t="n">
        <v>1</v>
      </c>
      <c r="T29" s="6" t="n">
        <v>1</v>
      </c>
      <c r="U29" s="17" t="n">
        <v>1</v>
      </c>
      <c r="V29" s="6" t="n">
        <v>1</v>
      </c>
      <c r="W29" s="17" t="n">
        <v>1</v>
      </c>
      <c r="X29" s="17" t="n">
        <v>1</v>
      </c>
      <c r="Y29" s="17" t="n">
        <v>1</v>
      </c>
      <c r="Z29" s="17" t="n">
        <v>1</v>
      </c>
      <c r="AA29" s="17" t="n">
        <v>1</v>
      </c>
      <c r="AB29" s="17" t="n">
        <v>1</v>
      </c>
      <c r="AC29" s="6" t="n">
        <v>1</v>
      </c>
      <c r="AD29" s="17" t="n">
        <v>1</v>
      </c>
      <c r="AE29" s="17" t="n">
        <v>1</v>
      </c>
      <c r="AF29" s="17" t="n">
        <v>1</v>
      </c>
      <c r="AG29" s="17" t="n">
        <v>1</v>
      </c>
      <c r="AH29" s="17" t="n">
        <v>1</v>
      </c>
      <c r="AI29" s="17" t="n">
        <v>1</v>
      </c>
      <c r="AJ29" s="17" t="n">
        <v>1</v>
      </c>
      <c r="AK29" s="17" t="n">
        <v>1</v>
      </c>
      <c r="AL29" s="17" t="n">
        <v>1</v>
      </c>
      <c r="AM29" s="17" t="n">
        <v>1</v>
      </c>
      <c r="AN29" s="17" t="n">
        <v>1</v>
      </c>
      <c r="AO29" s="17"/>
      <c r="AP29" s="17" t="n">
        <v>1</v>
      </c>
      <c r="AQ29" s="17"/>
      <c r="AR29" s="17" t="n">
        <v>1</v>
      </c>
      <c r="AS29" s="17" t="n">
        <v>1</v>
      </c>
      <c r="AT29" s="17" t="n">
        <v>1</v>
      </c>
      <c r="AU29" s="17" t="n">
        <v>1</v>
      </c>
      <c r="AV29" s="17" t="n">
        <v>1</v>
      </c>
      <c r="AW29" s="17" t="n">
        <v>1</v>
      </c>
      <c r="AX29" s="17" t="n">
        <v>1</v>
      </c>
      <c r="AY29" s="17" t="n">
        <v>1</v>
      </c>
      <c r="AZ29" s="6" t="n">
        <v>1</v>
      </c>
      <c r="BA29" s="17" t="n">
        <v>1</v>
      </c>
    </row>
    <row r="30" customFormat="false" ht="15" hidden="false" customHeight="false" outlineLevel="0" collapsed="false">
      <c r="A30" s="17" t="s">
        <v>124</v>
      </c>
      <c r="B30" s="17" t="s">
        <v>125</v>
      </c>
      <c r="C30" s="18" t="n">
        <f aca="false">emissions!B29</f>
        <v>0</v>
      </c>
      <c r="D30" s="17" t="n">
        <v>1</v>
      </c>
      <c r="E30" s="17"/>
      <c r="F30" s="17" t="n">
        <v>1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6"/>
      <c r="U30" s="17"/>
      <c r="V30" s="6"/>
      <c r="W30" s="17"/>
      <c r="X30" s="17"/>
      <c r="Y30" s="17"/>
      <c r="Z30" s="17"/>
      <c r="AA30" s="17"/>
      <c r="AB30" s="17"/>
      <c r="AC30" s="6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6"/>
      <c r="BA30" s="17"/>
    </row>
    <row r="31" customFormat="false" ht="15" hidden="false" customHeight="false" outlineLevel="0" collapsed="false">
      <c r="A31" s="17" t="s">
        <v>126</v>
      </c>
      <c r="B31" s="17" t="s">
        <v>127</v>
      </c>
      <c r="C31" s="18" t="n">
        <f aca="false">emissions!B30</f>
        <v>0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 t="n">
        <v>1</v>
      </c>
      <c r="O31" s="17"/>
      <c r="P31" s="17"/>
      <c r="Q31" s="17" t="n">
        <v>1</v>
      </c>
      <c r="R31" s="17"/>
      <c r="S31" s="17"/>
      <c r="T31" s="6"/>
      <c r="U31" s="17"/>
      <c r="V31" s="6"/>
      <c r="W31" s="17"/>
      <c r="X31" s="17"/>
      <c r="Y31" s="17"/>
      <c r="Z31" s="17"/>
      <c r="AA31" s="17"/>
      <c r="AB31" s="17"/>
      <c r="AC31" s="6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6"/>
      <c r="BA31" s="17"/>
    </row>
    <row r="32" customFormat="false" ht="15" hidden="false" customHeight="false" outlineLevel="0" collapsed="false">
      <c r="A32" s="17" t="s">
        <v>128</v>
      </c>
      <c r="B32" s="17" t="s">
        <v>129</v>
      </c>
      <c r="C32" s="18" t="n">
        <f aca="false">emissions!B31</f>
        <v>0</v>
      </c>
      <c r="D32" s="17" t="n">
        <v>1</v>
      </c>
      <c r="E32" s="17"/>
      <c r="F32" s="17"/>
      <c r="G32" s="17"/>
      <c r="H32" s="17"/>
      <c r="I32" s="17"/>
      <c r="J32" s="17" t="n">
        <v>1</v>
      </c>
      <c r="K32" s="17"/>
      <c r="L32" s="17"/>
      <c r="M32" s="17"/>
      <c r="N32" s="17"/>
      <c r="O32" s="17"/>
      <c r="P32" s="17"/>
      <c r="Q32" s="17"/>
      <c r="R32" s="17"/>
      <c r="S32" s="17"/>
      <c r="T32" s="6"/>
      <c r="U32" s="17"/>
      <c r="V32" s="6"/>
      <c r="W32" s="17"/>
      <c r="X32" s="17"/>
      <c r="Y32" s="17"/>
      <c r="Z32" s="17"/>
      <c r="AA32" s="17"/>
      <c r="AB32" s="17"/>
      <c r="AC32" s="6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6"/>
      <c r="BA32" s="17"/>
    </row>
    <row r="33" customFormat="false" ht="15" hidden="false" customHeight="false" outlineLevel="0" collapsed="false">
      <c r="A33" s="17" t="s">
        <v>130</v>
      </c>
      <c r="B33" s="17" t="s">
        <v>131</v>
      </c>
      <c r="C33" s="18" t="n">
        <f aca="false">emissions!B32</f>
        <v>0</v>
      </c>
      <c r="D33" s="17" t="n">
        <v>1</v>
      </c>
      <c r="E33" s="17"/>
      <c r="F33" s="17"/>
      <c r="G33" s="17"/>
      <c r="H33" s="17"/>
      <c r="I33" s="17"/>
      <c r="J33" s="17" t="n">
        <v>1</v>
      </c>
      <c r="K33" s="17"/>
      <c r="L33" s="17"/>
      <c r="M33" s="17"/>
      <c r="N33" s="17" t="n">
        <v>1</v>
      </c>
      <c r="O33" s="17"/>
      <c r="P33" s="17"/>
      <c r="Q33" s="17" t="n">
        <v>1</v>
      </c>
      <c r="R33" s="17"/>
      <c r="S33" s="17"/>
      <c r="T33" s="6"/>
      <c r="U33" s="17"/>
      <c r="V33" s="6"/>
      <c r="W33" s="17"/>
      <c r="X33" s="17"/>
      <c r="Y33" s="17"/>
      <c r="Z33" s="17"/>
      <c r="AA33" s="17"/>
      <c r="AB33" s="17"/>
      <c r="AC33" s="6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6"/>
      <c r="BA33" s="17"/>
    </row>
    <row r="34" customFormat="false" ht="15" hidden="false" customHeight="false" outlineLevel="0" collapsed="false">
      <c r="A34" s="17" t="s">
        <v>132</v>
      </c>
      <c r="B34" s="17" t="s">
        <v>133</v>
      </c>
      <c r="C34" s="18" t="n">
        <f aca="false">emissions!B33</f>
        <v>0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 t="n">
        <v>1</v>
      </c>
      <c r="O34" s="17"/>
      <c r="P34" s="17"/>
      <c r="Q34" s="17" t="n">
        <v>1</v>
      </c>
      <c r="R34" s="17"/>
      <c r="S34" s="17"/>
      <c r="T34" s="6"/>
      <c r="U34" s="17"/>
      <c r="V34" s="6"/>
      <c r="W34" s="17" t="n">
        <v>1</v>
      </c>
      <c r="X34" s="17" t="n">
        <v>1</v>
      </c>
      <c r="Y34" s="17"/>
      <c r="Z34" s="17"/>
      <c r="AA34" s="17"/>
      <c r="AB34" s="17"/>
      <c r="AC34" s="6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6"/>
      <c r="BA34" s="17"/>
    </row>
    <row r="35" customFormat="false" ht="15" hidden="false" customHeight="false" outlineLevel="0" collapsed="false">
      <c r="A35" s="17" t="s">
        <v>134</v>
      </c>
      <c r="B35" s="17" t="s">
        <v>135</v>
      </c>
      <c r="C35" s="18" t="n">
        <f aca="false">emissions!B34</f>
        <v>0</v>
      </c>
      <c r="D35" s="17" t="n">
        <v>1</v>
      </c>
      <c r="E35" s="17"/>
      <c r="F35" s="17"/>
      <c r="G35" s="17"/>
      <c r="H35" s="17"/>
      <c r="I35" s="17"/>
      <c r="J35" s="17" t="n">
        <v>1</v>
      </c>
      <c r="K35" s="17"/>
      <c r="L35" s="17"/>
      <c r="M35" s="17"/>
      <c r="N35" s="17"/>
      <c r="O35" s="17"/>
      <c r="P35" s="17"/>
      <c r="Q35" s="17"/>
      <c r="R35" s="17"/>
      <c r="S35" s="17"/>
      <c r="T35" s="6"/>
      <c r="U35" s="17"/>
      <c r="V35" s="6"/>
      <c r="W35" s="17"/>
      <c r="X35" s="17"/>
      <c r="Y35" s="17"/>
      <c r="Z35" s="17"/>
      <c r="AA35" s="17"/>
      <c r="AB35" s="17"/>
      <c r="AC35" s="6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6"/>
      <c r="BA35" s="17"/>
    </row>
    <row r="36" customFormat="false" ht="15" hidden="false" customHeight="false" outlineLevel="0" collapsed="false">
      <c r="A36" s="17" t="s">
        <v>136</v>
      </c>
      <c r="B36" s="17" t="s">
        <v>137</v>
      </c>
      <c r="C36" s="18" t="n">
        <f aca="false">emissions!B35</f>
        <v>0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 t="n">
        <v>1</v>
      </c>
      <c r="O36" s="17"/>
      <c r="P36" s="17"/>
      <c r="Q36" s="17" t="n">
        <v>1</v>
      </c>
      <c r="R36" s="17"/>
      <c r="S36" s="17"/>
      <c r="T36" s="6"/>
      <c r="U36" s="17"/>
      <c r="V36" s="6"/>
      <c r="W36" s="17" t="n">
        <v>1</v>
      </c>
      <c r="X36" s="17" t="n">
        <v>1</v>
      </c>
      <c r="Y36" s="17"/>
      <c r="Z36" s="17"/>
      <c r="AA36" s="17"/>
      <c r="AB36" s="17"/>
      <c r="AC36" s="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6"/>
      <c r="BA36" s="17"/>
    </row>
    <row r="37" customFormat="false" ht="15" hidden="false" customHeight="false" outlineLevel="0" collapsed="false">
      <c r="A37" s="17" t="s">
        <v>138</v>
      </c>
      <c r="B37" s="19" t="s">
        <v>139</v>
      </c>
      <c r="C37" s="18" t="n">
        <f aca="false">emissions!B36</f>
        <v>0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6"/>
      <c r="U37" s="17"/>
      <c r="V37" s="6"/>
      <c r="W37" s="17"/>
      <c r="X37" s="17"/>
      <c r="Y37" s="17"/>
      <c r="Z37" s="17"/>
      <c r="AA37" s="17"/>
      <c r="AB37" s="17"/>
      <c r="AC37" s="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6"/>
      <c r="BA37" s="17"/>
    </row>
    <row r="38" customFormat="false" ht="15" hidden="false" customHeight="false" outlineLevel="0" collapsed="false">
      <c r="A38" s="17" t="s">
        <v>140</v>
      </c>
      <c r="B38" s="19" t="s">
        <v>141</v>
      </c>
      <c r="C38" s="18" t="n">
        <f aca="false">emissions!B37</f>
        <v>0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6"/>
      <c r="U38" s="17"/>
      <c r="V38" s="6"/>
      <c r="W38" s="17"/>
      <c r="X38" s="17"/>
      <c r="Y38" s="17"/>
      <c r="Z38" s="17"/>
      <c r="AA38" s="17"/>
      <c r="AB38" s="17"/>
      <c r="AC38" s="6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6"/>
      <c r="BA38" s="17"/>
    </row>
    <row r="39" customFormat="false" ht="15" hidden="false" customHeight="false" outlineLevel="0" collapsed="false">
      <c r="A39" s="17" t="s">
        <v>142</v>
      </c>
      <c r="B39" s="19" t="s">
        <v>143</v>
      </c>
      <c r="C39" s="18" t="n">
        <f aca="false">emissions!B38</f>
        <v>0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6"/>
      <c r="U39" s="17"/>
      <c r="V39" s="6"/>
      <c r="W39" s="17"/>
      <c r="X39" s="17"/>
      <c r="Y39" s="17"/>
      <c r="Z39" s="17"/>
      <c r="AA39" s="17"/>
      <c r="AB39" s="17"/>
      <c r="AC39" s="6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6"/>
      <c r="BA39" s="17"/>
    </row>
    <row r="40" customFormat="false" ht="15" hidden="false" customHeight="false" outlineLevel="0" collapsed="false">
      <c r="A40" s="17" t="s">
        <v>144</v>
      </c>
      <c r="B40" s="19" t="s">
        <v>145</v>
      </c>
      <c r="C40" s="18" t="n">
        <f aca="false">emissions!B39</f>
        <v>0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6"/>
      <c r="U40" s="17"/>
      <c r="V40" s="6"/>
      <c r="W40" s="17"/>
      <c r="X40" s="17"/>
      <c r="Y40" s="17"/>
      <c r="Z40" s="17"/>
      <c r="AA40" s="17"/>
      <c r="AB40" s="17"/>
      <c r="AC40" s="6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6"/>
      <c r="BA40" s="17"/>
    </row>
    <row r="41" customFormat="false" ht="15" hidden="false" customHeight="false" outlineLevel="0" collapsed="false">
      <c r="A41" s="17" t="s">
        <v>146</v>
      </c>
      <c r="B41" s="17" t="s">
        <v>147</v>
      </c>
      <c r="C41" s="18" t="n">
        <f aca="false">emissions!B40</f>
        <v>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 t="n">
        <v>1</v>
      </c>
      <c r="O41" s="17"/>
      <c r="P41" s="17"/>
      <c r="Q41" s="17"/>
      <c r="R41" s="17"/>
      <c r="S41" s="17"/>
      <c r="T41" s="6"/>
      <c r="U41" s="17" t="n">
        <v>1</v>
      </c>
      <c r="V41" s="6"/>
      <c r="W41" s="17"/>
      <c r="X41" s="17"/>
      <c r="Y41" s="17"/>
      <c r="Z41" s="17"/>
      <c r="AA41" s="17"/>
      <c r="AB41" s="17"/>
      <c r="AC41" s="6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6"/>
      <c r="BA41" s="17"/>
    </row>
    <row r="42" customFormat="false" ht="15.75" hidden="false" customHeight="false" outlineLevel="0" collapsed="false">
      <c r="A42" s="17" t="s">
        <v>148</v>
      </c>
      <c r="B42" s="17" t="s">
        <v>149</v>
      </c>
      <c r="C42" s="18" t="n">
        <f aca="false">emissions!B41</f>
        <v>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 t="n">
        <v>1</v>
      </c>
      <c r="O42" s="17"/>
      <c r="P42" s="17"/>
      <c r="Q42" s="17"/>
      <c r="R42" s="17"/>
      <c r="S42" s="17"/>
      <c r="T42" s="6"/>
      <c r="U42" s="17" t="n">
        <v>1</v>
      </c>
      <c r="V42" s="6"/>
      <c r="W42" s="17"/>
      <c r="X42" s="17"/>
      <c r="Y42" s="17"/>
      <c r="Z42" s="17"/>
      <c r="AA42" s="17"/>
      <c r="AB42" s="17"/>
      <c r="AC42" s="6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6"/>
      <c r="BA42" s="17"/>
    </row>
    <row r="43" s="22" customFormat="true" ht="15.75" hidden="false" customHeight="false" outlineLevel="0" collapsed="false">
      <c r="A43" s="20" t="s">
        <v>150</v>
      </c>
      <c r="B43" s="21" t="s">
        <v>151</v>
      </c>
      <c r="C43" s="22" t="n">
        <f aca="false">emissions!B42</f>
        <v>0</v>
      </c>
      <c r="D43" s="22" t="n">
        <v>1</v>
      </c>
      <c r="I43" s="22" t="n">
        <v>1</v>
      </c>
      <c r="J43" s="22" t="n">
        <v>1</v>
      </c>
      <c r="K43" s="22" t="n">
        <v>1</v>
      </c>
      <c r="N43" s="22" t="n">
        <v>1</v>
      </c>
      <c r="O43" s="22" t="n">
        <v>1</v>
      </c>
      <c r="P43" s="22" t="n">
        <v>1</v>
      </c>
      <c r="Q43" s="22" t="n">
        <v>1</v>
      </c>
      <c r="R43" s="22" t="n">
        <v>1</v>
      </c>
      <c r="S43" s="22" t="n">
        <v>1</v>
      </c>
      <c r="T43" s="23" t="n">
        <v>1</v>
      </c>
      <c r="U43" s="22" t="n">
        <v>1</v>
      </c>
      <c r="V43" s="23" t="n">
        <v>1</v>
      </c>
      <c r="AB43" s="22" t="n">
        <v>1</v>
      </c>
      <c r="AC43" s="23"/>
      <c r="AD43" s="22" t="n">
        <v>1</v>
      </c>
      <c r="AZ43" s="23"/>
    </row>
    <row r="44" customFormat="false" ht="15" hidden="false" customHeight="false" outlineLevel="0" collapsed="false">
      <c r="A44" s="17" t="s">
        <v>152</v>
      </c>
      <c r="B44" s="19" t="s">
        <v>153</v>
      </c>
      <c r="C44" s="18" t="n">
        <f aca="false">emissions!B43</f>
        <v>0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6"/>
      <c r="U44" s="17"/>
      <c r="V44" s="6"/>
      <c r="W44" s="17"/>
      <c r="X44" s="17"/>
      <c r="Y44" s="17"/>
      <c r="Z44" s="17"/>
      <c r="AA44" s="17"/>
      <c r="AB44" s="17"/>
      <c r="AC44" s="6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6"/>
      <c r="BA44" s="17"/>
    </row>
    <row r="45" customFormat="false" ht="15" hidden="false" customHeight="false" outlineLevel="0" collapsed="false">
      <c r="A45" s="17" t="s">
        <v>154</v>
      </c>
      <c r="B45" s="19" t="s">
        <v>155</v>
      </c>
      <c r="C45" s="18" t="n">
        <f aca="false">emissions!B44</f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6"/>
      <c r="U45" s="17"/>
      <c r="V45" s="6"/>
      <c r="W45" s="17"/>
      <c r="X45" s="17"/>
      <c r="Y45" s="17"/>
      <c r="Z45" s="17"/>
      <c r="AA45" s="17"/>
      <c r="AB45" s="17"/>
      <c r="AC45" s="6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6"/>
      <c r="BA45" s="17"/>
    </row>
    <row r="46" customFormat="false" ht="15.75" hidden="false" customHeight="false" outlineLevel="0" collapsed="false">
      <c r="A46" s="17" t="s">
        <v>156</v>
      </c>
      <c r="B46" s="19" t="s">
        <v>157</v>
      </c>
      <c r="C46" s="18" t="n">
        <f aca="false">emissions!B45</f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6"/>
      <c r="U46" s="17"/>
      <c r="V46" s="6"/>
      <c r="W46" s="17"/>
      <c r="X46" s="17"/>
      <c r="Y46" s="17"/>
      <c r="Z46" s="17"/>
      <c r="AA46" s="17"/>
      <c r="AB46" s="17"/>
      <c r="AC46" s="6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6"/>
      <c r="BA46" s="17"/>
    </row>
    <row r="47" s="26" customFormat="true" ht="15" hidden="false" customHeight="false" outlineLevel="0" collapsed="false">
      <c r="A47" s="24" t="s">
        <v>158</v>
      </c>
      <c r="B47" s="25" t="s">
        <v>159</v>
      </c>
      <c r="C47" s="26" t="n">
        <f aca="false">emissions!B46</f>
        <v>0</v>
      </c>
      <c r="I47" s="26" t="n">
        <v>1</v>
      </c>
      <c r="J47" s="26" t="n">
        <v>1</v>
      </c>
      <c r="N47" s="26" t="n">
        <v>1</v>
      </c>
      <c r="O47" s="26" t="n">
        <v>1</v>
      </c>
      <c r="P47" s="26" t="n">
        <v>1</v>
      </c>
      <c r="Q47" s="26" t="n">
        <v>1</v>
      </c>
      <c r="R47" s="26" t="n">
        <v>1</v>
      </c>
      <c r="S47" s="26" t="n">
        <v>1</v>
      </c>
      <c r="T47" s="27"/>
      <c r="U47" s="26" t="n">
        <v>1</v>
      </c>
      <c r="V47" s="27" t="n">
        <v>1</v>
      </c>
      <c r="AA47" s="26" t="n">
        <v>1</v>
      </c>
      <c r="AB47" s="26" t="n">
        <v>1</v>
      </c>
      <c r="AC47" s="27"/>
      <c r="AD47" s="26" t="n">
        <v>1</v>
      </c>
      <c r="AK47" s="26" t="n">
        <v>1</v>
      </c>
      <c r="AU47" s="26" t="n">
        <v>1</v>
      </c>
      <c r="AW47" s="26" t="n">
        <v>1</v>
      </c>
      <c r="AZ47" s="27" t="n">
        <v>1</v>
      </c>
    </row>
    <row r="48" s="30" customFormat="true" ht="15.75" hidden="false" customHeight="false" outlineLevel="0" collapsed="false">
      <c r="A48" s="28" t="s">
        <v>160</v>
      </c>
      <c r="B48" s="29" t="s">
        <v>161</v>
      </c>
      <c r="C48" s="30" t="n">
        <f aca="false">emissions!B47</f>
        <v>0</v>
      </c>
      <c r="I48" s="30" t="n">
        <v>1</v>
      </c>
      <c r="J48" s="30" t="n">
        <v>1</v>
      </c>
      <c r="N48" s="30" t="n">
        <v>1</v>
      </c>
      <c r="O48" s="30" t="n">
        <v>1</v>
      </c>
      <c r="P48" s="30" t="n">
        <v>1</v>
      </c>
      <c r="T48" s="31"/>
      <c r="V48" s="31"/>
      <c r="AB48" s="30" t="n">
        <v>1</v>
      </c>
      <c r="AC48" s="31"/>
      <c r="AD48" s="30" t="n">
        <v>1</v>
      </c>
      <c r="AZ48" s="31"/>
    </row>
    <row r="49" customFormat="false" ht="15" hidden="false" customHeight="false" outlineLevel="0" collapsed="false">
      <c r="A49" s="17" t="s">
        <v>162</v>
      </c>
      <c r="B49" s="19" t="s">
        <v>163</v>
      </c>
      <c r="C49" s="18" t="n">
        <f aca="false">emissions!B48</f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6"/>
      <c r="U49" s="17"/>
      <c r="V49" s="6"/>
      <c r="W49" s="17"/>
      <c r="X49" s="17"/>
      <c r="Y49" s="17"/>
      <c r="Z49" s="17"/>
      <c r="AA49" s="17"/>
      <c r="AB49" s="17"/>
      <c r="AC49" s="6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6"/>
      <c r="BA49" s="17"/>
    </row>
    <row r="50" customFormat="false" ht="15" hidden="false" customHeight="false" outlineLevel="0" collapsed="false">
      <c r="A50" s="17" t="s">
        <v>164</v>
      </c>
      <c r="B50" s="19" t="s">
        <v>165</v>
      </c>
      <c r="C50" s="18" t="n">
        <f aca="false">emissions!B49</f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6"/>
      <c r="U50" s="17"/>
      <c r="V50" s="6"/>
      <c r="W50" s="17"/>
      <c r="X50" s="17"/>
      <c r="Y50" s="17"/>
      <c r="Z50" s="17"/>
      <c r="AA50" s="17"/>
      <c r="AB50" s="17"/>
      <c r="AC50" s="6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6"/>
      <c r="BA50" s="17"/>
    </row>
    <row r="51" customFormat="false" ht="15" hidden="false" customHeight="false" outlineLevel="0" collapsed="false">
      <c r="A51" s="17" t="s">
        <v>166</v>
      </c>
      <c r="B51" s="19" t="s">
        <v>167</v>
      </c>
      <c r="C51" s="18" t="n">
        <f aca="false">emissions!B50</f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6"/>
      <c r="U51" s="17"/>
      <c r="V51" s="6"/>
      <c r="W51" s="17"/>
      <c r="X51" s="17"/>
      <c r="Y51" s="17"/>
      <c r="Z51" s="17"/>
      <c r="AA51" s="17"/>
      <c r="AB51" s="17"/>
      <c r="AC51" s="6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6"/>
      <c r="BA51" s="17"/>
    </row>
    <row r="52" customFormat="false" ht="15" hidden="false" customHeight="false" outlineLevel="0" collapsed="false">
      <c r="A52" s="17" t="s">
        <v>168</v>
      </c>
      <c r="B52" s="19" t="s">
        <v>169</v>
      </c>
      <c r="C52" s="18" t="n">
        <f aca="false">emissions!B51</f>
        <v>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6"/>
      <c r="U52" s="17"/>
      <c r="V52" s="6"/>
      <c r="W52" s="17"/>
      <c r="X52" s="17"/>
      <c r="Y52" s="17"/>
      <c r="Z52" s="17"/>
      <c r="AA52" s="17"/>
      <c r="AB52" s="17"/>
      <c r="AC52" s="6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6"/>
      <c r="BA52" s="17"/>
    </row>
    <row r="53" customFormat="false" ht="15" hidden="false" customHeight="false" outlineLevel="0" collapsed="false">
      <c r="A53" s="17" t="s">
        <v>170</v>
      </c>
      <c r="B53" s="17" t="s">
        <v>171</v>
      </c>
      <c r="C53" s="18" t="n">
        <f aca="false">emissions!B52</f>
        <v>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 t="n">
        <v>1</v>
      </c>
      <c r="O53" s="17"/>
      <c r="P53" s="17"/>
      <c r="Q53" s="17"/>
      <c r="R53" s="17"/>
      <c r="S53" s="17"/>
      <c r="T53" s="6"/>
      <c r="U53" s="17" t="n">
        <v>1</v>
      </c>
      <c r="V53" s="6"/>
      <c r="W53" s="17"/>
      <c r="X53" s="17"/>
      <c r="Y53" s="17"/>
      <c r="Z53" s="17"/>
      <c r="AA53" s="17"/>
      <c r="AB53" s="17"/>
      <c r="AC53" s="6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6"/>
      <c r="BA53" s="17"/>
    </row>
    <row r="54" customFormat="false" ht="15" hidden="false" customHeight="false" outlineLevel="0" collapsed="false">
      <c r="A54" s="17" t="s">
        <v>172</v>
      </c>
      <c r="B54" s="17" t="s">
        <v>173</v>
      </c>
      <c r="C54" s="18" t="n">
        <f aca="false">emissions!B53</f>
        <v>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 t="n">
        <v>1</v>
      </c>
      <c r="O54" s="17"/>
      <c r="P54" s="17"/>
      <c r="Q54" s="17"/>
      <c r="R54" s="17"/>
      <c r="S54" s="17"/>
      <c r="T54" s="6"/>
      <c r="U54" s="17" t="n">
        <v>1</v>
      </c>
      <c r="V54" s="6"/>
      <c r="W54" s="17"/>
      <c r="X54" s="17"/>
      <c r="Y54" s="17"/>
      <c r="Z54" s="17"/>
      <c r="AA54" s="17"/>
      <c r="AB54" s="17"/>
      <c r="AC54" s="6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6"/>
      <c r="BA54" s="17"/>
    </row>
    <row r="55" customFormat="false" ht="15" hidden="false" customHeight="false" outlineLevel="0" collapsed="false">
      <c r="A55" s="17" t="s">
        <v>174</v>
      </c>
      <c r="B55" s="19" t="s">
        <v>175</v>
      </c>
      <c r="C55" s="18" t="n">
        <f aca="false">emissions!B54</f>
        <v>0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6"/>
      <c r="U55" s="17"/>
      <c r="V55" s="6"/>
      <c r="W55" s="17"/>
      <c r="X55" s="17"/>
      <c r="Y55" s="17"/>
      <c r="Z55" s="17"/>
      <c r="AA55" s="17"/>
      <c r="AB55" s="17"/>
      <c r="AC55" s="6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6"/>
      <c r="BA55" s="17"/>
    </row>
    <row r="56" customFormat="false" ht="15" hidden="false" customHeight="false" outlineLevel="0" collapsed="false">
      <c r="A56" s="17" t="s">
        <v>176</v>
      </c>
      <c r="B56" s="17" t="s">
        <v>177</v>
      </c>
      <c r="C56" s="18" t="n">
        <f aca="false">emissions!B55</f>
        <v>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 t="n">
        <v>1</v>
      </c>
      <c r="O56" s="17"/>
      <c r="P56" s="17"/>
      <c r="Q56" s="17" t="n">
        <v>1</v>
      </c>
      <c r="R56" s="17" t="n">
        <v>1</v>
      </c>
      <c r="S56" s="17"/>
      <c r="T56" s="6"/>
      <c r="U56" s="17"/>
      <c r="V56" s="6"/>
      <c r="W56" s="17"/>
      <c r="X56" s="17"/>
      <c r="Y56" s="17"/>
      <c r="Z56" s="17"/>
      <c r="AA56" s="17"/>
      <c r="AB56" s="17"/>
      <c r="AC56" s="6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6"/>
      <c r="BA56" s="17"/>
    </row>
    <row r="57" customFormat="false" ht="15" hidden="false" customHeight="false" outlineLevel="0" collapsed="false">
      <c r="A57" s="17" t="s">
        <v>178</v>
      </c>
      <c r="B57" s="17" t="s">
        <v>179</v>
      </c>
      <c r="C57" s="18" t="n">
        <f aca="false">emissions!B56</f>
        <v>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 t="n">
        <v>1</v>
      </c>
      <c r="O57" s="17" t="n">
        <v>1</v>
      </c>
      <c r="P57" s="17" t="n">
        <v>1</v>
      </c>
      <c r="Q57" s="17" t="n">
        <v>1</v>
      </c>
      <c r="R57" s="17" t="n">
        <v>1</v>
      </c>
      <c r="S57" s="17" t="n">
        <v>1</v>
      </c>
      <c r="T57" s="6" t="n">
        <v>1</v>
      </c>
      <c r="U57" s="17"/>
      <c r="V57" s="6"/>
      <c r="W57" s="17"/>
      <c r="X57" s="17"/>
      <c r="Y57" s="17"/>
      <c r="Z57" s="17"/>
      <c r="AA57" s="17"/>
      <c r="AB57" s="17"/>
      <c r="AC57" s="6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6"/>
      <c r="BA57" s="17"/>
    </row>
    <row r="58" customFormat="false" ht="15" hidden="false" customHeight="false" outlineLevel="0" collapsed="false">
      <c r="A58" s="17" t="s">
        <v>180</v>
      </c>
      <c r="B58" s="17" t="s">
        <v>181</v>
      </c>
      <c r="C58" s="18" t="n">
        <f aca="false">emissions!B57</f>
        <v>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 t="n">
        <v>1</v>
      </c>
      <c r="O58" s="17" t="n">
        <v>1</v>
      </c>
      <c r="P58" s="17" t="n">
        <v>1</v>
      </c>
      <c r="Q58" s="17" t="n">
        <v>1</v>
      </c>
      <c r="R58" s="17" t="n">
        <v>1</v>
      </c>
      <c r="S58" s="17" t="n">
        <v>1</v>
      </c>
      <c r="T58" s="6" t="n">
        <v>1</v>
      </c>
      <c r="U58" s="17"/>
      <c r="V58" s="6"/>
      <c r="W58" s="17"/>
      <c r="X58" s="17"/>
      <c r="Y58" s="17"/>
      <c r="Z58" s="17"/>
      <c r="AA58" s="17"/>
      <c r="AB58" s="17"/>
      <c r="AC58" s="6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6"/>
      <c r="BA58" s="17"/>
    </row>
    <row r="59" customFormat="false" ht="15" hidden="false" customHeight="false" outlineLevel="0" collapsed="false">
      <c r="A59" s="17" t="s">
        <v>182</v>
      </c>
      <c r="B59" s="17" t="s">
        <v>183</v>
      </c>
      <c r="C59" s="18" t="n">
        <f aca="false">emissions!B58</f>
        <v>0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 t="n">
        <v>1</v>
      </c>
      <c r="O59" s="17"/>
      <c r="P59" s="17"/>
      <c r="Q59" s="17"/>
      <c r="R59" s="17"/>
      <c r="S59" s="17" t="n">
        <v>1</v>
      </c>
      <c r="T59" s="6"/>
      <c r="U59" s="17" t="n">
        <v>1</v>
      </c>
      <c r="V59" s="6" t="n">
        <v>1</v>
      </c>
      <c r="W59" s="17"/>
      <c r="X59" s="17"/>
      <c r="Y59" s="17"/>
      <c r="Z59" s="17"/>
      <c r="AA59" s="17"/>
      <c r="AB59" s="17"/>
      <c r="AC59" s="6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6"/>
      <c r="BA59" s="17"/>
    </row>
    <row r="60" customFormat="false" ht="15" hidden="false" customHeight="false" outlineLevel="0" collapsed="false">
      <c r="A60" s="17" t="s">
        <v>184</v>
      </c>
      <c r="B60" s="17" t="s">
        <v>185</v>
      </c>
      <c r="C60" s="18" t="n">
        <f aca="false">emissions!B59</f>
        <v>0</v>
      </c>
      <c r="D60" s="17" t="n">
        <v>1</v>
      </c>
      <c r="E60" s="17"/>
      <c r="F60" s="17" t="n">
        <v>1</v>
      </c>
      <c r="G60" s="17"/>
      <c r="H60" s="17" t="n">
        <v>1</v>
      </c>
      <c r="I60" s="17"/>
      <c r="J60" s="17"/>
      <c r="K60" s="17"/>
      <c r="L60" s="17"/>
      <c r="M60" s="17"/>
      <c r="N60" s="17" t="n">
        <v>1</v>
      </c>
      <c r="O60" s="17" t="n">
        <v>1</v>
      </c>
      <c r="P60" s="17" t="n">
        <v>1</v>
      </c>
      <c r="Q60" s="17" t="n">
        <v>1</v>
      </c>
      <c r="R60" s="17" t="n">
        <v>1</v>
      </c>
      <c r="S60" s="17"/>
      <c r="T60" s="6"/>
      <c r="U60" s="17"/>
      <c r="V60" s="6"/>
      <c r="W60" s="17" t="n">
        <v>1</v>
      </c>
      <c r="X60" s="17" t="n">
        <v>1</v>
      </c>
      <c r="Y60" s="17" t="n">
        <v>1</v>
      </c>
      <c r="Z60" s="17" t="n">
        <v>1</v>
      </c>
      <c r="AA60" s="17" t="n">
        <v>1</v>
      </c>
      <c r="AB60" s="17" t="n">
        <v>1</v>
      </c>
      <c r="AC60" s="6" t="n">
        <v>1</v>
      </c>
      <c r="AD60" s="17" t="n">
        <v>1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6"/>
      <c r="BA60" s="17"/>
    </row>
    <row r="61" customFormat="false" ht="15" hidden="false" customHeight="false" outlineLevel="0" collapsed="false">
      <c r="A61" s="17" t="s">
        <v>186</v>
      </c>
      <c r="B61" s="17" t="s">
        <v>187</v>
      </c>
      <c r="C61" s="18" t="n">
        <f aca="false">emissions!B60</f>
        <v>0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 t="n">
        <v>1</v>
      </c>
      <c r="O61" s="17" t="n">
        <v>1</v>
      </c>
      <c r="P61" s="17" t="n">
        <v>1</v>
      </c>
      <c r="Q61" s="17" t="n">
        <v>1</v>
      </c>
      <c r="R61" s="17" t="n">
        <v>1</v>
      </c>
      <c r="S61" s="17" t="n">
        <v>1</v>
      </c>
      <c r="T61" s="6"/>
      <c r="U61" s="17" t="n">
        <v>1</v>
      </c>
      <c r="V61" s="6" t="n">
        <v>1</v>
      </c>
      <c r="W61" s="17"/>
      <c r="X61" s="17"/>
      <c r="Y61" s="17"/>
      <c r="Z61" s="17"/>
      <c r="AA61" s="17"/>
      <c r="AB61" s="17"/>
      <c r="AC61" s="6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6"/>
      <c r="BA61" s="17"/>
    </row>
    <row r="62" customFormat="false" ht="15" hidden="false" customHeight="false" outlineLevel="0" collapsed="false">
      <c r="A62" s="17" t="s">
        <v>188</v>
      </c>
      <c r="B62" s="17" t="s">
        <v>189</v>
      </c>
      <c r="C62" s="18" t="n">
        <f aca="false">emissions!B61</f>
        <v>0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 t="n">
        <v>1</v>
      </c>
      <c r="O62" s="17" t="n">
        <v>1</v>
      </c>
      <c r="P62" s="17" t="n">
        <v>1</v>
      </c>
      <c r="Q62" s="17" t="n">
        <v>1</v>
      </c>
      <c r="R62" s="17" t="n">
        <v>1</v>
      </c>
      <c r="S62" s="17" t="n">
        <v>1</v>
      </c>
      <c r="T62" s="6"/>
      <c r="U62" s="17" t="n">
        <v>1</v>
      </c>
      <c r="V62" s="6" t="n">
        <v>1</v>
      </c>
      <c r="W62" s="17"/>
      <c r="X62" s="17"/>
      <c r="Y62" s="17"/>
      <c r="Z62" s="17"/>
      <c r="AA62" s="17"/>
      <c r="AB62" s="17"/>
      <c r="AC62" s="6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6"/>
      <c r="BA62" s="17"/>
    </row>
    <row r="63" customFormat="false" ht="15" hidden="false" customHeight="false" outlineLevel="0" collapsed="false">
      <c r="A63" s="17" t="s">
        <v>190</v>
      </c>
      <c r="B63" s="17" t="s">
        <v>191</v>
      </c>
      <c r="C63" s="18" t="n">
        <f aca="false">emissions!B62</f>
        <v>0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 t="n">
        <v>1</v>
      </c>
      <c r="O63" s="17"/>
      <c r="P63" s="17"/>
      <c r="Q63" s="17"/>
      <c r="R63" s="17"/>
      <c r="S63" s="17"/>
      <c r="T63" s="6"/>
      <c r="U63" s="17" t="n">
        <v>1</v>
      </c>
      <c r="V63" s="6" t="n">
        <v>1</v>
      </c>
      <c r="W63" s="17"/>
      <c r="X63" s="17"/>
      <c r="Y63" s="17"/>
      <c r="Z63" s="17"/>
      <c r="AA63" s="17"/>
      <c r="AB63" s="17"/>
      <c r="AC63" s="6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6"/>
      <c r="BA63" s="17"/>
    </row>
    <row r="64" customFormat="false" ht="15" hidden="false" customHeight="false" outlineLevel="0" collapsed="false">
      <c r="A64" s="17" t="s">
        <v>192</v>
      </c>
      <c r="B64" s="17" t="s">
        <v>193</v>
      </c>
      <c r="C64" s="18" t="n">
        <f aca="false">emissions!B63</f>
        <v>0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 t="n">
        <v>1</v>
      </c>
      <c r="O64" s="17" t="n">
        <v>1</v>
      </c>
      <c r="P64" s="17" t="n">
        <v>1</v>
      </c>
      <c r="Q64" s="17" t="n">
        <v>1</v>
      </c>
      <c r="R64" s="17" t="n">
        <v>1</v>
      </c>
      <c r="S64" s="17" t="n">
        <v>1</v>
      </c>
      <c r="T64" s="6" t="n">
        <v>1</v>
      </c>
      <c r="U64" s="17" t="n">
        <v>1</v>
      </c>
      <c r="V64" s="6" t="n">
        <v>1</v>
      </c>
      <c r="W64" s="17"/>
      <c r="X64" s="17"/>
      <c r="Y64" s="17"/>
      <c r="Z64" s="17"/>
      <c r="AA64" s="17"/>
      <c r="AB64" s="17"/>
      <c r="AC64" s="6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6"/>
      <c r="BA64" s="17"/>
    </row>
    <row r="65" customFormat="false" ht="15" hidden="false" customHeight="false" outlineLevel="0" collapsed="false">
      <c r="A65" s="17" t="s">
        <v>194</v>
      </c>
      <c r="B65" s="17" t="s">
        <v>195</v>
      </c>
      <c r="C65" s="18" t="n">
        <f aca="false">emissions!B64</f>
        <v>0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 t="n">
        <v>1</v>
      </c>
      <c r="O65" s="17" t="n">
        <v>1</v>
      </c>
      <c r="P65" s="17" t="n">
        <v>1</v>
      </c>
      <c r="Q65" s="17" t="n">
        <v>1</v>
      </c>
      <c r="R65" s="17" t="n">
        <v>1</v>
      </c>
      <c r="S65" s="17" t="n">
        <v>1</v>
      </c>
      <c r="T65" s="6" t="n">
        <v>1</v>
      </c>
      <c r="U65" s="17" t="n">
        <v>1</v>
      </c>
      <c r="V65" s="6" t="n">
        <v>1</v>
      </c>
      <c r="W65" s="17" t="n">
        <v>1</v>
      </c>
      <c r="X65" s="17" t="n">
        <v>1</v>
      </c>
      <c r="Y65" s="17" t="n">
        <v>1</v>
      </c>
      <c r="Z65" s="17" t="n">
        <v>1</v>
      </c>
      <c r="AA65" s="17" t="n">
        <v>1</v>
      </c>
      <c r="AB65" s="17" t="n">
        <v>1</v>
      </c>
      <c r="AC65" s="6" t="n">
        <v>1</v>
      </c>
      <c r="AD65" s="17" t="n">
        <v>1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6"/>
      <c r="BA65" s="17"/>
    </row>
    <row r="66" customFormat="false" ht="15" hidden="false" customHeight="false" outlineLevel="0" collapsed="false">
      <c r="A66" s="17" t="s">
        <v>196</v>
      </c>
      <c r="B66" s="19" t="s">
        <v>197</v>
      </c>
      <c r="C66" s="18" t="n">
        <f aca="false">emissions!B65</f>
        <v>0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6"/>
      <c r="U66" s="17"/>
      <c r="V66" s="6"/>
      <c r="W66" s="17"/>
      <c r="X66" s="17"/>
      <c r="Y66" s="17"/>
      <c r="Z66" s="17"/>
      <c r="AA66" s="17"/>
      <c r="AB66" s="17"/>
      <c r="AC66" s="6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6"/>
      <c r="BA66" s="17"/>
    </row>
    <row r="67" customFormat="false" ht="15" hidden="false" customHeight="false" outlineLevel="0" collapsed="false">
      <c r="A67" s="17" t="s">
        <v>198</v>
      </c>
      <c r="B67" s="17" t="s">
        <v>199</v>
      </c>
      <c r="C67" s="18" t="n">
        <f aca="false">emissions!B66</f>
        <v>0</v>
      </c>
      <c r="D67" s="17" t="n">
        <v>1</v>
      </c>
      <c r="E67" s="17"/>
      <c r="F67" s="17"/>
      <c r="G67" s="17"/>
      <c r="H67" s="17"/>
      <c r="I67" s="17"/>
      <c r="J67" s="17"/>
      <c r="K67" s="17" t="n">
        <v>1</v>
      </c>
      <c r="L67" s="17"/>
      <c r="M67" s="17"/>
      <c r="N67" s="17" t="n">
        <v>1</v>
      </c>
      <c r="O67" s="17"/>
      <c r="P67" s="17"/>
      <c r="Q67" s="17"/>
      <c r="R67" s="17"/>
      <c r="S67" s="17"/>
      <c r="T67" s="6"/>
      <c r="U67" s="17"/>
      <c r="V67" s="6"/>
      <c r="W67" s="17" t="n">
        <v>1</v>
      </c>
      <c r="X67" s="17"/>
      <c r="Y67" s="17"/>
      <c r="Z67" s="17" t="n">
        <v>1</v>
      </c>
      <c r="AA67" s="17"/>
      <c r="AB67" s="17" t="n">
        <v>1</v>
      </c>
      <c r="AC67" s="6"/>
      <c r="AD67" s="17" t="n">
        <v>1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6"/>
      <c r="BA67" s="17"/>
    </row>
    <row r="68" customFormat="false" ht="15" hidden="false" customHeight="false" outlineLevel="0" collapsed="false">
      <c r="A68" s="17" t="s">
        <v>200</v>
      </c>
      <c r="B68" s="17" t="s">
        <v>201</v>
      </c>
      <c r="C68" s="18" t="n">
        <f aca="false">emissions!B67</f>
        <v>0</v>
      </c>
      <c r="D68" s="17" t="n">
        <v>1</v>
      </c>
      <c r="E68" s="17"/>
      <c r="F68" s="17"/>
      <c r="G68" s="17"/>
      <c r="H68" s="17"/>
      <c r="I68" s="17"/>
      <c r="J68" s="17"/>
      <c r="K68" s="17" t="n">
        <v>1</v>
      </c>
      <c r="L68" s="17"/>
      <c r="M68" s="17"/>
      <c r="N68" s="17" t="n">
        <v>1</v>
      </c>
      <c r="O68" s="17"/>
      <c r="P68" s="17"/>
      <c r="Q68" s="17"/>
      <c r="R68" s="17"/>
      <c r="S68" s="17"/>
      <c r="T68" s="6"/>
      <c r="U68" s="17"/>
      <c r="V68" s="6"/>
      <c r="W68" s="17" t="n">
        <v>1</v>
      </c>
      <c r="X68" s="17"/>
      <c r="Y68" s="17"/>
      <c r="Z68" s="17" t="n">
        <v>1</v>
      </c>
      <c r="AA68" s="17"/>
      <c r="AB68" s="17" t="n">
        <v>1</v>
      </c>
      <c r="AC68" s="6"/>
      <c r="AD68" s="17" t="n">
        <v>1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6"/>
      <c r="BA68" s="17"/>
    </row>
    <row r="69" customFormat="false" ht="15" hidden="false" customHeight="false" outlineLevel="0" collapsed="false">
      <c r="A69" s="17" t="s">
        <v>202</v>
      </c>
      <c r="B69" s="17" t="s">
        <v>203</v>
      </c>
      <c r="C69" s="18" t="n">
        <f aca="false">emissions!B68</f>
        <v>0</v>
      </c>
      <c r="D69" s="17" t="n">
        <v>1</v>
      </c>
      <c r="E69" s="17"/>
      <c r="F69" s="17"/>
      <c r="G69" s="17"/>
      <c r="H69" s="17"/>
      <c r="I69" s="17"/>
      <c r="J69" s="17"/>
      <c r="K69" s="17" t="n">
        <v>1</v>
      </c>
      <c r="L69" s="17"/>
      <c r="M69" s="17"/>
      <c r="N69" s="17" t="n">
        <v>1</v>
      </c>
      <c r="O69" s="17"/>
      <c r="P69" s="17"/>
      <c r="Q69" s="17"/>
      <c r="R69" s="17"/>
      <c r="S69" s="17"/>
      <c r="T69" s="6"/>
      <c r="U69" s="17"/>
      <c r="V69" s="6"/>
      <c r="W69" s="17" t="n">
        <v>1</v>
      </c>
      <c r="X69" s="17"/>
      <c r="Y69" s="17"/>
      <c r="Z69" s="17" t="n">
        <v>1</v>
      </c>
      <c r="AA69" s="17"/>
      <c r="AB69" s="17" t="n">
        <v>1</v>
      </c>
      <c r="AC69" s="6"/>
      <c r="AD69" s="17" t="n">
        <v>1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6"/>
      <c r="BA69" s="17"/>
    </row>
    <row r="70" customFormat="false" ht="15" hidden="false" customHeight="false" outlineLevel="0" collapsed="false">
      <c r="A70" s="17" t="s">
        <v>204</v>
      </c>
      <c r="B70" s="17" t="s">
        <v>205</v>
      </c>
      <c r="C70" s="18" t="n">
        <f aca="false">emissions!B69</f>
        <v>0</v>
      </c>
      <c r="D70" s="17" t="n">
        <v>1</v>
      </c>
      <c r="E70" s="17"/>
      <c r="F70" s="17"/>
      <c r="G70" s="17"/>
      <c r="H70" s="17"/>
      <c r="I70" s="17"/>
      <c r="J70" s="17"/>
      <c r="K70" s="17" t="n">
        <v>1</v>
      </c>
      <c r="L70" s="17"/>
      <c r="M70" s="17"/>
      <c r="N70" s="17" t="n">
        <v>1</v>
      </c>
      <c r="O70" s="17"/>
      <c r="P70" s="17"/>
      <c r="Q70" s="17"/>
      <c r="R70" s="17"/>
      <c r="S70" s="17"/>
      <c r="T70" s="6"/>
      <c r="U70" s="17"/>
      <c r="V70" s="6"/>
      <c r="W70" s="17" t="n">
        <v>1</v>
      </c>
      <c r="X70" s="17"/>
      <c r="Y70" s="17"/>
      <c r="Z70" s="17" t="n">
        <v>1</v>
      </c>
      <c r="AA70" s="17"/>
      <c r="AB70" s="17" t="n">
        <v>1</v>
      </c>
      <c r="AC70" s="6"/>
      <c r="AD70" s="17" t="n">
        <v>1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6"/>
      <c r="BA70" s="17"/>
    </row>
    <row r="71" customFormat="false" ht="15" hidden="false" customHeight="false" outlineLevel="0" collapsed="false">
      <c r="A71" s="17" t="s">
        <v>206</v>
      </c>
      <c r="B71" s="17" t="s">
        <v>207</v>
      </c>
      <c r="C71" s="18" t="n">
        <f aca="false">emissions!B70</f>
        <v>0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 t="n">
        <v>1</v>
      </c>
      <c r="O71" s="17"/>
      <c r="P71" s="17"/>
      <c r="Q71" s="17"/>
      <c r="R71" s="17"/>
      <c r="S71" s="17"/>
      <c r="T71" s="6"/>
      <c r="U71" s="17"/>
      <c r="V71" s="6"/>
      <c r="W71" s="17"/>
      <c r="X71" s="17"/>
      <c r="Y71" s="17"/>
      <c r="Z71" s="17"/>
      <c r="AA71" s="17"/>
      <c r="AB71" s="17" t="n">
        <v>1</v>
      </c>
      <c r="AC71" s="6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6"/>
      <c r="BA71" s="17"/>
    </row>
    <row r="72" customFormat="false" ht="15" hidden="false" customHeight="false" outlineLevel="0" collapsed="false">
      <c r="A72" s="17" t="s">
        <v>208</v>
      </c>
      <c r="B72" s="17" t="s">
        <v>209</v>
      </c>
      <c r="C72" s="18" t="n">
        <f aca="false">emissions!B71</f>
        <v>0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 t="n">
        <v>1</v>
      </c>
      <c r="O72" s="17"/>
      <c r="P72" s="17"/>
      <c r="Q72" s="17"/>
      <c r="R72" s="17"/>
      <c r="S72" s="17"/>
      <c r="T72" s="6"/>
      <c r="U72" s="17"/>
      <c r="V72" s="6"/>
      <c r="W72" s="17"/>
      <c r="X72" s="17"/>
      <c r="Y72" s="17"/>
      <c r="Z72" s="17"/>
      <c r="AA72" s="17"/>
      <c r="AB72" s="17" t="n">
        <v>1</v>
      </c>
      <c r="AC72" s="6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6"/>
      <c r="BA72" s="17"/>
    </row>
    <row r="73" customFormat="false" ht="15" hidden="false" customHeight="false" outlineLevel="0" collapsed="false">
      <c r="A73" s="17" t="s">
        <v>210</v>
      </c>
      <c r="B73" s="17" t="s">
        <v>211</v>
      </c>
      <c r="C73" s="18" t="n">
        <f aca="false">emissions!B72</f>
        <v>0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 t="n">
        <v>1</v>
      </c>
      <c r="O73" s="17"/>
      <c r="P73" s="17"/>
      <c r="Q73" s="17"/>
      <c r="R73" s="17"/>
      <c r="S73" s="17"/>
      <c r="T73" s="6"/>
      <c r="U73" s="17"/>
      <c r="V73" s="6"/>
      <c r="W73" s="17"/>
      <c r="X73" s="17"/>
      <c r="Y73" s="17"/>
      <c r="Z73" s="17"/>
      <c r="AA73" s="17"/>
      <c r="AB73" s="17" t="n">
        <v>1</v>
      </c>
      <c r="AC73" s="6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6"/>
      <c r="BA73" s="17"/>
    </row>
    <row r="74" customFormat="false" ht="15" hidden="false" customHeight="false" outlineLevel="0" collapsed="false">
      <c r="A74" s="17" t="s">
        <v>212</v>
      </c>
      <c r="B74" s="17" t="s">
        <v>213</v>
      </c>
      <c r="C74" s="18" t="n">
        <f aca="false">emissions!B73</f>
        <v>0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 t="n">
        <v>1</v>
      </c>
      <c r="O74" s="17"/>
      <c r="P74" s="17"/>
      <c r="Q74" s="17"/>
      <c r="R74" s="17"/>
      <c r="S74" s="17"/>
      <c r="T74" s="6"/>
      <c r="U74" s="17"/>
      <c r="V74" s="6"/>
      <c r="W74" s="17"/>
      <c r="X74" s="17"/>
      <c r="Y74" s="17"/>
      <c r="Z74" s="17"/>
      <c r="AA74" s="17"/>
      <c r="AB74" s="17" t="n">
        <v>1</v>
      </c>
      <c r="AC74" s="6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6"/>
      <c r="BA74" s="17"/>
    </row>
    <row r="75" customFormat="false" ht="15" hidden="false" customHeight="false" outlineLevel="0" collapsed="false">
      <c r="A75" s="17" t="s">
        <v>214</v>
      </c>
      <c r="B75" s="17" t="s">
        <v>215</v>
      </c>
      <c r="C75" s="18" t="n">
        <f aca="false">emissions!B74</f>
        <v>0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 t="n">
        <v>1</v>
      </c>
      <c r="O75" s="17"/>
      <c r="P75" s="17"/>
      <c r="Q75" s="17"/>
      <c r="R75" s="17"/>
      <c r="S75" s="17"/>
      <c r="T75" s="6"/>
      <c r="U75" s="17"/>
      <c r="V75" s="6"/>
      <c r="W75" s="17"/>
      <c r="X75" s="17"/>
      <c r="Y75" s="17"/>
      <c r="Z75" s="17"/>
      <c r="AA75" s="17"/>
      <c r="AB75" s="17" t="n">
        <v>1</v>
      </c>
      <c r="AC75" s="6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6"/>
      <c r="BA75" s="17"/>
    </row>
    <row r="76" customFormat="false" ht="15" hidden="false" customHeight="false" outlineLevel="0" collapsed="false">
      <c r="A76" s="17" t="s">
        <v>216</v>
      </c>
      <c r="B76" s="32" t="s">
        <v>217</v>
      </c>
      <c r="C76" s="18" t="n">
        <f aca="false">emissions!B75</f>
        <v>0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6"/>
      <c r="U76" s="17"/>
      <c r="V76" s="6"/>
      <c r="W76" s="17"/>
      <c r="X76" s="17"/>
      <c r="Y76" s="17"/>
      <c r="Z76" s="17"/>
      <c r="AA76" s="17"/>
      <c r="AB76" s="17"/>
      <c r="AC76" s="6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6"/>
      <c r="BA76" s="17"/>
    </row>
    <row r="77" customFormat="false" ht="15" hidden="false" customHeight="false" outlineLevel="0" collapsed="false">
      <c r="A77" s="17" t="s">
        <v>218</v>
      </c>
      <c r="B77" s="32" t="s">
        <v>219</v>
      </c>
      <c r="C77" s="18" t="n">
        <f aca="false">emissions!B76</f>
        <v>0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6"/>
      <c r="U77" s="17"/>
      <c r="V77" s="6"/>
      <c r="W77" s="17"/>
      <c r="X77" s="17"/>
      <c r="Y77" s="17"/>
      <c r="Z77" s="17"/>
      <c r="AA77" s="17"/>
      <c r="AB77" s="17"/>
      <c r="AC77" s="6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6"/>
      <c r="BA77" s="17"/>
    </row>
    <row r="78" customFormat="false" ht="15" hidden="false" customHeight="false" outlineLevel="0" collapsed="false">
      <c r="A78" s="17" t="s">
        <v>220</v>
      </c>
      <c r="B78" s="32" t="s">
        <v>221</v>
      </c>
      <c r="C78" s="18" t="n">
        <f aca="false">emissions!B77</f>
        <v>0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6"/>
      <c r="U78" s="17"/>
      <c r="V78" s="6"/>
      <c r="W78" s="17"/>
      <c r="X78" s="17"/>
      <c r="Y78" s="17"/>
      <c r="Z78" s="17"/>
      <c r="AA78" s="17"/>
      <c r="AB78" s="17"/>
      <c r="AC78" s="6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6"/>
      <c r="BA78" s="17"/>
    </row>
    <row r="79" customFormat="false" ht="15" hidden="false" customHeight="false" outlineLevel="0" collapsed="false">
      <c r="A79" s="17" t="s">
        <v>222</v>
      </c>
      <c r="B79" s="32" t="s">
        <v>223</v>
      </c>
      <c r="C79" s="18" t="n">
        <f aca="false">emissions!B78</f>
        <v>0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6"/>
      <c r="U79" s="17"/>
      <c r="V79" s="6"/>
      <c r="W79" s="17"/>
      <c r="X79" s="17"/>
      <c r="Y79" s="17"/>
      <c r="Z79" s="17"/>
      <c r="AA79" s="17"/>
      <c r="AB79" s="17"/>
      <c r="AC79" s="6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6"/>
      <c r="BA79" s="17"/>
    </row>
    <row r="80" customFormat="false" ht="15" hidden="false" customHeight="false" outlineLevel="0" collapsed="false">
      <c r="A80" s="17" t="s">
        <v>224</v>
      </c>
      <c r="B80" s="32" t="s">
        <v>225</v>
      </c>
      <c r="C80" s="18" t="n">
        <f aca="false">emissions!B79</f>
        <v>0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6"/>
      <c r="U80" s="17"/>
      <c r="V80" s="6"/>
      <c r="W80" s="17"/>
      <c r="X80" s="17"/>
      <c r="Y80" s="17"/>
      <c r="Z80" s="17"/>
      <c r="AA80" s="17"/>
      <c r="AB80" s="17"/>
      <c r="AC80" s="6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6"/>
      <c r="BA80" s="17"/>
    </row>
    <row r="81" customFormat="false" ht="15" hidden="false" customHeight="false" outlineLevel="0" collapsed="false">
      <c r="A81" s="17" t="s">
        <v>226</v>
      </c>
      <c r="B81" s="32" t="s">
        <v>227</v>
      </c>
      <c r="C81" s="18" t="n">
        <f aca="false">emissions!B80</f>
        <v>0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6"/>
      <c r="U81" s="17"/>
      <c r="V81" s="6"/>
      <c r="W81" s="17"/>
      <c r="X81" s="17"/>
      <c r="Y81" s="17"/>
      <c r="Z81" s="17"/>
      <c r="AA81" s="17"/>
      <c r="AB81" s="17"/>
      <c r="AC81" s="6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6"/>
      <c r="BA81" s="17"/>
    </row>
    <row r="82" customFormat="false" ht="15" hidden="false" customHeight="false" outlineLevel="0" collapsed="false">
      <c r="A82" s="17" t="s">
        <v>228</v>
      </c>
      <c r="B82" s="17" t="s">
        <v>229</v>
      </c>
      <c r="C82" s="18" t="n">
        <f aca="false">emissions!B81</f>
        <v>0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 t="n">
        <v>1</v>
      </c>
      <c r="O82" s="17"/>
      <c r="P82" s="17"/>
      <c r="Q82" s="17"/>
      <c r="R82" s="17"/>
      <c r="S82" s="17"/>
      <c r="T82" s="6"/>
      <c r="U82" s="17"/>
      <c r="V82" s="6" t="n">
        <v>1</v>
      </c>
      <c r="W82" s="17" t="n">
        <v>1</v>
      </c>
      <c r="X82" s="17"/>
      <c r="Y82" s="17" t="n">
        <v>1</v>
      </c>
      <c r="Z82" s="17"/>
      <c r="AA82" s="17"/>
      <c r="AB82" s="17"/>
      <c r="AC82" s="6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6"/>
      <c r="BA82" s="17"/>
    </row>
    <row r="83" customFormat="false" ht="15" hidden="false" customHeight="false" outlineLevel="0" collapsed="false">
      <c r="A83" s="17" t="s">
        <v>230</v>
      </c>
      <c r="B83" s="17" t="s">
        <v>231</v>
      </c>
      <c r="C83" s="18" t="n">
        <f aca="false">emissions!B82</f>
        <v>0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 t="n">
        <v>1</v>
      </c>
      <c r="O83" s="17"/>
      <c r="P83" s="17"/>
      <c r="Q83" s="17"/>
      <c r="R83" s="17"/>
      <c r="S83" s="17"/>
      <c r="T83" s="6"/>
      <c r="U83" s="17"/>
      <c r="V83" s="6"/>
      <c r="W83" s="17" t="n">
        <v>1</v>
      </c>
      <c r="X83" s="17"/>
      <c r="Y83" s="17" t="n">
        <v>1</v>
      </c>
      <c r="Z83" s="17"/>
      <c r="AA83" s="17"/>
      <c r="AB83" s="17"/>
      <c r="AC83" s="6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6"/>
      <c r="BA83" s="17"/>
    </row>
    <row r="84" customFormat="false" ht="15" hidden="false" customHeight="false" outlineLevel="0" collapsed="false">
      <c r="A84" s="17" t="s">
        <v>232</v>
      </c>
      <c r="B84" s="32" t="s">
        <v>233</v>
      </c>
      <c r="C84" s="18" t="n">
        <f aca="false">emissions!B83</f>
        <v>0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6"/>
      <c r="U84" s="17"/>
      <c r="V84" s="6"/>
      <c r="W84" s="17"/>
      <c r="X84" s="17"/>
      <c r="Y84" s="17"/>
      <c r="Z84" s="17"/>
      <c r="AA84" s="17"/>
      <c r="AB84" s="17"/>
      <c r="AC84" s="6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6"/>
      <c r="BA84" s="17"/>
    </row>
    <row r="85" customFormat="false" ht="15" hidden="false" customHeight="false" outlineLevel="0" collapsed="false">
      <c r="A85" s="17" t="s">
        <v>234</v>
      </c>
      <c r="B85" s="32" t="s">
        <v>235</v>
      </c>
      <c r="C85" s="18" t="n">
        <f aca="false">emissions!B84</f>
        <v>0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6"/>
      <c r="U85" s="17"/>
      <c r="V85" s="6"/>
      <c r="W85" s="17"/>
      <c r="X85" s="17"/>
      <c r="Y85" s="17"/>
      <c r="Z85" s="17"/>
      <c r="AA85" s="17"/>
      <c r="AB85" s="17"/>
      <c r="AC85" s="6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6"/>
      <c r="BA85" s="17"/>
    </row>
    <row r="86" customFormat="false" ht="15" hidden="false" customHeight="false" outlineLevel="0" collapsed="false">
      <c r="A86" s="17" t="s">
        <v>236</v>
      </c>
      <c r="B86" s="32" t="s">
        <v>237</v>
      </c>
      <c r="C86" s="18" t="n">
        <f aca="false">emissions!B85</f>
        <v>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6"/>
      <c r="U86" s="17"/>
      <c r="V86" s="6"/>
      <c r="W86" s="17"/>
      <c r="X86" s="17"/>
      <c r="Y86" s="17"/>
      <c r="Z86" s="17"/>
      <c r="AA86" s="17"/>
      <c r="AB86" s="17"/>
      <c r="AC86" s="6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6"/>
      <c r="BA86" s="17"/>
    </row>
    <row r="87" customFormat="false" ht="15" hidden="false" customHeight="false" outlineLevel="0" collapsed="false">
      <c r="A87" s="17" t="s">
        <v>238</v>
      </c>
      <c r="B87" s="32" t="s">
        <v>239</v>
      </c>
      <c r="C87" s="18" t="n">
        <f aca="false">emissions!B86</f>
        <v>0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6"/>
      <c r="U87" s="17"/>
      <c r="V87" s="6"/>
      <c r="W87" s="17"/>
      <c r="X87" s="17"/>
      <c r="Y87" s="17"/>
      <c r="Z87" s="17"/>
      <c r="AA87" s="17"/>
      <c r="AB87" s="17"/>
      <c r="AC87" s="6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6"/>
      <c r="BA87" s="17"/>
    </row>
    <row r="88" customFormat="false" ht="15" hidden="false" customHeight="false" outlineLevel="0" collapsed="false">
      <c r="A88" s="17" t="s">
        <v>240</v>
      </c>
      <c r="B88" s="32" t="s">
        <v>241</v>
      </c>
      <c r="C88" s="18" t="n">
        <f aca="false">emissions!B87</f>
        <v>0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6"/>
      <c r="U88" s="17"/>
      <c r="V88" s="6"/>
      <c r="W88" s="17"/>
      <c r="X88" s="17"/>
      <c r="Y88" s="17"/>
      <c r="Z88" s="17"/>
      <c r="AA88" s="17"/>
      <c r="AB88" s="17"/>
      <c r="AC88" s="6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6"/>
      <c r="BA88" s="17"/>
    </row>
    <row r="89" customFormat="false" ht="15" hidden="false" customHeight="false" outlineLevel="0" collapsed="false">
      <c r="A89" s="17" t="s">
        <v>242</v>
      </c>
      <c r="B89" s="32" t="s">
        <v>243</v>
      </c>
      <c r="C89" s="18" t="n">
        <f aca="false">emissions!B88</f>
        <v>0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6"/>
      <c r="U89" s="17"/>
      <c r="V89" s="6"/>
      <c r="W89" s="17"/>
      <c r="X89" s="17"/>
      <c r="Y89" s="17"/>
      <c r="Z89" s="17"/>
      <c r="AA89" s="17"/>
      <c r="AB89" s="17"/>
      <c r="AC89" s="6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6"/>
      <c r="BA89" s="17"/>
    </row>
    <row r="90" customFormat="false" ht="15" hidden="false" customHeight="false" outlineLevel="0" collapsed="false">
      <c r="A90" s="17" t="s">
        <v>244</v>
      </c>
      <c r="B90" s="17" t="s">
        <v>245</v>
      </c>
      <c r="C90" s="18" t="n">
        <f aca="false">emissions!B89</f>
        <v>0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6"/>
      <c r="U90" s="17"/>
      <c r="V90" s="6"/>
      <c r="W90" s="17"/>
      <c r="X90" s="17"/>
      <c r="Y90" s="17"/>
      <c r="Z90" s="17"/>
      <c r="AA90" s="17"/>
      <c r="AB90" s="17"/>
      <c r="AC90" s="6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 t="n">
        <v>1</v>
      </c>
      <c r="AS90" s="17"/>
      <c r="AT90" s="17" t="n">
        <v>1</v>
      </c>
      <c r="AU90" s="17"/>
      <c r="AV90" s="17"/>
      <c r="AW90" s="17"/>
      <c r="AX90" s="17"/>
      <c r="AY90" s="17"/>
      <c r="AZ90" s="6"/>
      <c r="BA90" s="17"/>
    </row>
    <row r="91" customFormat="false" ht="15" hidden="false" customHeight="false" outlineLevel="0" collapsed="false">
      <c r="A91" s="17" t="s">
        <v>246</v>
      </c>
      <c r="B91" s="17" t="s">
        <v>247</v>
      </c>
      <c r="C91" s="18" t="n">
        <f aca="false">emissions!B90</f>
        <v>0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 t="n">
        <v>1</v>
      </c>
      <c r="O91" s="17"/>
      <c r="P91" s="17"/>
      <c r="Q91" s="17"/>
      <c r="R91" s="17"/>
      <c r="S91" s="17"/>
      <c r="T91" s="6"/>
      <c r="U91" s="17"/>
      <c r="V91" s="6"/>
      <c r="W91" s="17"/>
      <c r="X91" s="17"/>
      <c r="Y91" s="17"/>
      <c r="Z91" s="17"/>
      <c r="AA91" s="17" t="n">
        <v>1</v>
      </c>
      <c r="AB91" s="17"/>
      <c r="AC91" s="6"/>
      <c r="AD91" s="17"/>
      <c r="AE91" s="17"/>
      <c r="AF91" s="17"/>
      <c r="AG91" s="17"/>
      <c r="AH91" s="17"/>
      <c r="AI91" s="17" t="n">
        <v>1</v>
      </c>
      <c r="AJ91" s="17"/>
      <c r="AK91" s="17" t="n">
        <v>1</v>
      </c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6"/>
      <c r="BA91" s="17"/>
    </row>
    <row r="92" customFormat="false" ht="15" hidden="false" customHeight="false" outlineLevel="0" collapsed="false">
      <c r="A92" s="17" t="s">
        <v>248</v>
      </c>
      <c r="B92" s="17" t="s">
        <v>249</v>
      </c>
      <c r="C92" s="18" t="n">
        <f aca="false">emissions!B91</f>
        <v>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 t="n">
        <v>1</v>
      </c>
      <c r="O92" s="17"/>
      <c r="P92" s="17"/>
      <c r="Q92" s="17"/>
      <c r="R92" s="17"/>
      <c r="S92" s="17"/>
      <c r="T92" s="6"/>
      <c r="U92" s="17"/>
      <c r="V92" s="6"/>
      <c r="W92" s="17"/>
      <c r="X92" s="17"/>
      <c r="Y92" s="17"/>
      <c r="Z92" s="17"/>
      <c r="AA92" s="17" t="n">
        <v>1</v>
      </c>
      <c r="AB92" s="17"/>
      <c r="AC92" s="6"/>
      <c r="AD92" s="17"/>
      <c r="AE92" s="17"/>
      <c r="AF92" s="17"/>
      <c r="AG92" s="17"/>
      <c r="AH92" s="17"/>
      <c r="AI92" s="17" t="n">
        <v>1</v>
      </c>
      <c r="AJ92" s="17"/>
      <c r="AK92" s="17" t="n">
        <v>1</v>
      </c>
      <c r="AL92" s="17"/>
      <c r="AM92" s="17"/>
      <c r="AN92" s="17"/>
      <c r="AO92" s="17"/>
      <c r="AP92" s="17"/>
      <c r="AQ92" s="17"/>
      <c r="AR92" s="17" t="n">
        <v>1</v>
      </c>
      <c r="AS92" s="17"/>
      <c r="AT92" s="17"/>
      <c r="AU92" s="17" t="n">
        <v>1</v>
      </c>
      <c r="AV92" s="17"/>
      <c r="AW92" s="17"/>
      <c r="AX92" s="17" t="n">
        <v>1</v>
      </c>
      <c r="AY92" s="17"/>
      <c r="AZ92" s="6" t="n">
        <v>1</v>
      </c>
      <c r="BA92" s="17"/>
    </row>
    <row r="93" customFormat="false" ht="15" hidden="false" customHeight="false" outlineLevel="0" collapsed="false">
      <c r="A93" s="17" t="s">
        <v>250</v>
      </c>
      <c r="B93" s="17" t="s">
        <v>251</v>
      </c>
      <c r="C93" s="18" t="n">
        <f aca="false">emissions!B92</f>
        <v>0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 t="n">
        <v>1</v>
      </c>
      <c r="O93" s="17"/>
      <c r="P93" s="17"/>
      <c r="Q93" s="17"/>
      <c r="R93" s="17"/>
      <c r="S93" s="17"/>
      <c r="T93" s="6"/>
      <c r="U93" s="17"/>
      <c r="V93" s="6"/>
      <c r="W93" s="17"/>
      <c r="X93" s="17"/>
      <c r="Y93" s="17"/>
      <c r="Z93" s="17"/>
      <c r="AA93" s="17" t="n">
        <v>1</v>
      </c>
      <c r="AB93" s="17"/>
      <c r="AC93" s="6"/>
      <c r="AD93" s="17"/>
      <c r="AE93" s="17"/>
      <c r="AF93" s="17"/>
      <c r="AG93" s="17"/>
      <c r="AH93" s="17"/>
      <c r="AI93" s="17" t="n">
        <v>1</v>
      </c>
      <c r="AJ93" s="17"/>
      <c r="AK93" s="17" t="n">
        <v>1</v>
      </c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6"/>
      <c r="BA93" s="17"/>
    </row>
    <row r="94" customFormat="false" ht="15" hidden="false" customHeight="false" outlineLevel="0" collapsed="false">
      <c r="A94" s="17" t="s">
        <v>252</v>
      </c>
      <c r="B94" s="17" t="s">
        <v>253</v>
      </c>
      <c r="C94" s="18" t="n">
        <f aca="false">emissions!B93</f>
        <v>0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6"/>
      <c r="U94" s="17"/>
      <c r="V94" s="6"/>
      <c r="W94" s="17"/>
      <c r="X94" s="17"/>
      <c r="Y94" s="17"/>
      <c r="Z94" s="17"/>
      <c r="AA94" s="17"/>
      <c r="AB94" s="17"/>
      <c r="AC94" s="6"/>
      <c r="AD94" s="17"/>
      <c r="AE94" s="17"/>
      <c r="AF94" s="17"/>
      <c r="AG94" s="17"/>
      <c r="AH94" s="17"/>
      <c r="AI94" s="17" t="n">
        <v>1</v>
      </c>
      <c r="AJ94" s="17"/>
      <c r="AK94" s="17" t="n">
        <v>1</v>
      </c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6"/>
      <c r="BA94" s="17"/>
    </row>
    <row r="95" customFormat="false" ht="15" hidden="false" customHeight="false" outlineLevel="0" collapsed="false">
      <c r="A95" s="17" t="s">
        <v>254</v>
      </c>
      <c r="B95" s="17" t="s">
        <v>255</v>
      </c>
      <c r="C95" s="18" t="n">
        <f aca="false">emissions!B94</f>
        <v>0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6"/>
      <c r="U95" s="17"/>
      <c r="V95" s="6"/>
      <c r="W95" s="17"/>
      <c r="X95" s="17"/>
      <c r="Y95" s="17"/>
      <c r="Z95" s="17"/>
      <c r="AA95" s="17" t="n">
        <v>1</v>
      </c>
      <c r="AB95" s="17"/>
      <c r="AC95" s="6"/>
      <c r="AD95" s="17"/>
      <c r="AE95" s="17"/>
      <c r="AF95" s="17"/>
      <c r="AG95" s="17"/>
      <c r="AH95" s="17"/>
      <c r="AI95" s="17" t="n">
        <v>1</v>
      </c>
      <c r="AJ95" s="17"/>
      <c r="AK95" s="17" t="n">
        <v>1</v>
      </c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6"/>
      <c r="BA95" s="17"/>
    </row>
    <row r="96" customFormat="false" ht="15" hidden="false" customHeight="false" outlineLevel="0" collapsed="false">
      <c r="A96" s="17" t="s">
        <v>256</v>
      </c>
      <c r="B96" s="17" t="s">
        <v>257</v>
      </c>
      <c r="C96" s="18" t="n">
        <f aca="false">emissions!B95</f>
        <v>0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6"/>
      <c r="U96" s="17"/>
      <c r="V96" s="6"/>
      <c r="W96" s="17"/>
      <c r="X96" s="17"/>
      <c r="Y96" s="17"/>
      <c r="Z96" s="17"/>
      <c r="AA96" s="17" t="n">
        <v>1</v>
      </c>
      <c r="AB96" s="17"/>
      <c r="AC96" s="6"/>
      <c r="AD96" s="17"/>
      <c r="AE96" s="17"/>
      <c r="AF96" s="17"/>
      <c r="AG96" s="17"/>
      <c r="AH96" s="17"/>
      <c r="AI96" s="17" t="n">
        <v>1</v>
      </c>
      <c r="AJ96" s="17"/>
      <c r="AK96" s="17" t="n">
        <v>1</v>
      </c>
      <c r="AL96" s="17"/>
      <c r="AM96" s="17"/>
      <c r="AN96" s="17"/>
      <c r="AO96" s="17"/>
      <c r="AP96" s="17"/>
      <c r="AQ96" s="17"/>
      <c r="AR96" s="17" t="n">
        <v>1</v>
      </c>
      <c r="AS96" s="17"/>
      <c r="AT96" s="17"/>
      <c r="AU96" s="17" t="n">
        <v>1</v>
      </c>
      <c r="AV96" s="17"/>
      <c r="AW96" s="17" t="n">
        <v>1</v>
      </c>
      <c r="AX96" s="17"/>
      <c r="AY96" s="17"/>
      <c r="AZ96" s="6"/>
      <c r="BA96" s="17"/>
    </row>
    <row r="97" customFormat="false" ht="15" hidden="false" customHeight="false" outlineLevel="0" collapsed="false">
      <c r="A97" s="17" t="s">
        <v>258</v>
      </c>
      <c r="B97" s="17" t="s">
        <v>259</v>
      </c>
      <c r="C97" s="18" t="n">
        <f aca="false">emissions!B96</f>
        <v>0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6"/>
      <c r="U97" s="17"/>
      <c r="V97" s="6"/>
      <c r="W97" s="17"/>
      <c r="X97" s="17"/>
      <c r="Y97" s="17"/>
      <c r="Z97" s="17"/>
      <c r="AA97" s="17" t="n">
        <v>1</v>
      </c>
      <c r="AB97" s="17"/>
      <c r="AC97" s="6"/>
      <c r="AD97" s="17"/>
      <c r="AE97" s="17"/>
      <c r="AF97" s="17"/>
      <c r="AG97" s="17"/>
      <c r="AH97" s="17"/>
      <c r="AI97" s="17" t="n">
        <v>1</v>
      </c>
      <c r="AJ97" s="17"/>
      <c r="AK97" s="17" t="n">
        <v>1</v>
      </c>
      <c r="AL97" s="17"/>
      <c r="AM97" s="17"/>
      <c r="AN97" s="17"/>
      <c r="AO97" s="17"/>
      <c r="AP97" s="17"/>
      <c r="AQ97" s="17"/>
      <c r="AR97" s="17" t="n">
        <v>1</v>
      </c>
      <c r="AS97" s="17"/>
      <c r="AT97" s="17"/>
      <c r="AU97" s="17" t="n">
        <v>1</v>
      </c>
      <c r="AV97" s="17"/>
      <c r="AW97" s="17" t="n">
        <v>1</v>
      </c>
      <c r="AX97" s="17" t="n">
        <v>1</v>
      </c>
      <c r="AY97" s="17"/>
      <c r="AZ97" s="6" t="n">
        <v>1</v>
      </c>
      <c r="BA97" s="17"/>
    </row>
    <row r="98" customFormat="false" ht="15" hidden="false" customHeight="false" outlineLevel="0" collapsed="false">
      <c r="A98" s="17" t="s">
        <v>260</v>
      </c>
      <c r="B98" s="17" t="s">
        <v>261</v>
      </c>
      <c r="C98" s="18" t="n">
        <f aca="false">emissions!B97</f>
        <v>0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6"/>
      <c r="U98" s="17"/>
      <c r="V98" s="6"/>
      <c r="W98" s="17"/>
      <c r="X98" s="17"/>
      <c r="Y98" s="17"/>
      <c r="Z98" s="17"/>
      <c r="AA98" s="17" t="n">
        <v>1</v>
      </c>
      <c r="AB98" s="17"/>
      <c r="AC98" s="6"/>
      <c r="AD98" s="17"/>
      <c r="AE98" s="17"/>
      <c r="AF98" s="17"/>
      <c r="AG98" s="17"/>
      <c r="AH98" s="17"/>
      <c r="AI98" s="17" t="n">
        <v>1</v>
      </c>
      <c r="AJ98" s="17"/>
      <c r="AK98" s="17" t="n">
        <v>1</v>
      </c>
      <c r="AL98" s="17"/>
      <c r="AM98" s="17"/>
      <c r="AN98" s="17"/>
      <c r="AO98" s="17"/>
      <c r="AP98" s="17"/>
      <c r="AQ98" s="17"/>
      <c r="AR98" s="17" t="n">
        <v>1</v>
      </c>
      <c r="AS98" s="17"/>
      <c r="AT98" s="17"/>
      <c r="AU98" s="17" t="n">
        <v>1</v>
      </c>
      <c r="AV98" s="17"/>
      <c r="AW98" s="17" t="n">
        <v>1</v>
      </c>
      <c r="AX98" s="17" t="n">
        <v>1</v>
      </c>
      <c r="AY98" s="17"/>
      <c r="AZ98" s="6" t="n">
        <v>1</v>
      </c>
      <c r="BA98" s="17"/>
    </row>
    <row r="99" customFormat="false" ht="15" hidden="false" customHeight="false" outlineLevel="0" collapsed="false">
      <c r="A99" s="17" t="s">
        <v>262</v>
      </c>
      <c r="B99" s="17" t="s">
        <v>263</v>
      </c>
      <c r="C99" s="18" t="n">
        <f aca="false">emissions!B98</f>
        <v>0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6"/>
      <c r="U99" s="17"/>
      <c r="V99" s="6"/>
      <c r="W99" s="17"/>
      <c r="X99" s="17"/>
      <c r="Y99" s="17"/>
      <c r="Z99" s="17"/>
      <c r="AA99" s="17"/>
      <c r="AB99" s="17"/>
      <c r="AC99" s="6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 t="n">
        <v>1</v>
      </c>
      <c r="AS99" s="17"/>
      <c r="AT99" s="17"/>
      <c r="AU99" s="17"/>
      <c r="AV99" s="17"/>
      <c r="AW99" s="17" t="n">
        <v>1</v>
      </c>
      <c r="AX99" s="17" t="n">
        <v>1</v>
      </c>
      <c r="AY99" s="17"/>
      <c r="AZ99" s="6" t="n">
        <v>1</v>
      </c>
      <c r="BA99" s="17"/>
    </row>
    <row r="100" customFormat="false" ht="15" hidden="false" customHeight="false" outlineLevel="0" collapsed="false">
      <c r="A100" s="17" t="s">
        <v>264</v>
      </c>
      <c r="B100" s="17" t="s">
        <v>265</v>
      </c>
      <c r="C100" s="18" t="n">
        <f aca="false">emissions!B99</f>
        <v>0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6"/>
      <c r="U100" s="17"/>
      <c r="V100" s="6"/>
      <c r="W100" s="17"/>
      <c r="X100" s="17"/>
      <c r="Y100" s="17"/>
      <c r="Z100" s="17"/>
      <c r="AA100" s="17"/>
      <c r="AB100" s="17"/>
      <c r="AC100" s="6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 t="n">
        <v>1</v>
      </c>
      <c r="AS100" s="17"/>
      <c r="AT100" s="17"/>
      <c r="AU100" s="17"/>
      <c r="AV100" s="17"/>
      <c r="AW100" s="17" t="n">
        <v>1</v>
      </c>
      <c r="AX100" s="17" t="n">
        <v>1</v>
      </c>
      <c r="AY100" s="17"/>
      <c r="AZ100" s="6" t="n">
        <v>1</v>
      </c>
      <c r="BA100" s="17"/>
    </row>
    <row r="101" customFormat="false" ht="15" hidden="false" customHeight="false" outlineLevel="0" collapsed="false">
      <c r="A101" s="17" t="s">
        <v>266</v>
      </c>
      <c r="B101" s="17" t="s">
        <v>267</v>
      </c>
      <c r="C101" s="18" t="n">
        <f aca="false">emissions!B100</f>
        <v>0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 t="n">
        <v>1</v>
      </c>
      <c r="N101" s="17"/>
      <c r="O101" s="17"/>
      <c r="P101" s="17"/>
      <c r="Q101" s="17"/>
      <c r="R101" s="17"/>
      <c r="S101" s="17"/>
      <c r="T101" s="6"/>
      <c r="U101" s="17"/>
      <c r="V101" s="6"/>
      <c r="W101" s="17"/>
      <c r="X101" s="17"/>
      <c r="Y101" s="17"/>
      <c r="Z101" s="17"/>
      <c r="AA101" s="17" t="n">
        <v>1</v>
      </c>
      <c r="AB101" s="17"/>
      <c r="AC101" s="6"/>
      <c r="AD101" s="17"/>
      <c r="AE101" s="17"/>
      <c r="AF101" s="17"/>
      <c r="AG101" s="17"/>
      <c r="AH101" s="17"/>
      <c r="AI101" s="17" t="n">
        <v>1</v>
      </c>
      <c r="AJ101" s="17"/>
      <c r="AK101" s="17" t="n">
        <v>1</v>
      </c>
      <c r="AL101" s="17"/>
      <c r="AM101" s="17"/>
      <c r="AN101" s="17"/>
      <c r="AO101" s="17"/>
      <c r="AP101" s="17"/>
      <c r="AQ101" s="17"/>
      <c r="AR101" s="17" t="n">
        <v>1</v>
      </c>
      <c r="AS101" s="17"/>
      <c r="AT101" s="17"/>
      <c r="AU101" s="17" t="n">
        <v>1</v>
      </c>
      <c r="AV101" s="17"/>
      <c r="AW101" s="17" t="n">
        <v>1</v>
      </c>
      <c r="AX101" s="17" t="n">
        <v>1</v>
      </c>
      <c r="AY101" s="17"/>
      <c r="AZ101" s="6" t="n">
        <v>1</v>
      </c>
      <c r="BA101" s="17"/>
    </row>
    <row r="102" customFormat="false" ht="15" hidden="false" customHeight="false" outlineLevel="0" collapsed="false">
      <c r="A102" s="17" t="s">
        <v>268</v>
      </c>
      <c r="B102" s="17" t="s">
        <v>269</v>
      </c>
      <c r="C102" s="18" t="n">
        <f aca="false">emissions!B101</f>
        <v>0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 t="n">
        <v>1</v>
      </c>
      <c r="N102" s="17"/>
      <c r="O102" s="17"/>
      <c r="P102" s="17"/>
      <c r="Q102" s="17"/>
      <c r="R102" s="17"/>
      <c r="S102" s="17"/>
      <c r="T102" s="6"/>
      <c r="U102" s="17"/>
      <c r="V102" s="6"/>
      <c r="W102" s="17"/>
      <c r="X102" s="17"/>
      <c r="Y102" s="17"/>
      <c r="Z102" s="17"/>
      <c r="AA102" s="17" t="n">
        <v>1</v>
      </c>
      <c r="AB102" s="17"/>
      <c r="AC102" s="6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 t="n">
        <v>1</v>
      </c>
      <c r="AS102" s="17"/>
      <c r="AT102" s="17"/>
      <c r="AU102" s="17" t="n">
        <v>1</v>
      </c>
      <c r="AV102" s="17"/>
      <c r="AW102" s="17" t="n">
        <v>1</v>
      </c>
      <c r="AX102" s="17" t="n">
        <v>1</v>
      </c>
      <c r="AY102" s="17"/>
      <c r="AZ102" s="6" t="n">
        <v>1</v>
      </c>
      <c r="BA102" s="17"/>
    </row>
    <row r="103" customFormat="false" ht="15" hidden="false" customHeight="false" outlineLevel="0" collapsed="false">
      <c r="A103" s="17" t="s">
        <v>270</v>
      </c>
      <c r="B103" s="17" t="s">
        <v>271</v>
      </c>
      <c r="C103" s="18" t="n">
        <f aca="false">emissions!B102</f>
        <v>0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 t="n">
        <v>1</v>
      </c>
      <c r="N103" s="17"/>
      <c r="O103" s="17"/>
      <c r="P103" s="17"/>
      <c r="Q103" s="17"/>
      <c r="R103" s="17"/>
      <c r="S103" s="17"/>
      <c r="T103" s="6"/>
      <c r="U103" s="17"/>
      <c r="V103" s="6"/>
      <c r="W103" s="17"/>
      <c r="X103" s="17"/>
      <c r="Y103" s="17"/>
      <c r="Z103" s="17"/>
      <c r="AA103" s="17"/>
      <c r="AB103" s="17"/>
      <c r="AC103" s="6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 t="n">
        <v>1</v>
      </c>
      <c r="AS103" s="17"/>
      <c r="AT103" s="17"/>
      <c r="AU103" s="17" t="n">
        <v>1</v>
      </c>
      <c r="AV103" s="17"/>
      <c r="AW103" s="17" t="n">
        <v>1</v>
      </c>
      <c r="AX103" s="17" t="n">
        <v>1</v>
      </c>
      <c r="AY103" s="17"/>
      <c r="AZ103" s="6" t="n">
        <v>1</v>
      </c>
      <c r="BA103" s="17"/>
    </row>
    <row r="104" customFormat="false" ht="15" hidden="false" customHeight="false" outlineLevel="0" collapsed="false">
      <c r="A104" s="17" t="s">
        <v>272</v>
      </c>
      <c r="B104" s="17" t="s">
        <v>273</v>
      </c>
      <c r="C104" s="18" t="n">
        <f aca="false">emissions!B103</f>
        <v>0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 t="n">
        <v>1</v>
      </c>
      <c r="N104" s="17"/>
      <c r="O104" s="17"/>
      <c r="P104" s="17"/>
      <c r="Q104" s="17"/>
      <c r="R104" s="17"/>
      <c r="S104" s="17"/>
      <c r="T104" s="6"/>
      <c r="U104" s="17"/>
      <c r="V104" s="6"/>
      <c r="W104" s="17"/>
      <c r="X104" s="17"/>
      <c r="Y104" s="17"/>
      <c r="Z104" s="17"/>
      <c r="AA104" s="17"/>
      <c r="AB104" s="17"/>
      <c r="AC104" s="6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 t="n">
        <v>1</v>
      </c>
      <c r="AS104" s="17"/>
      <c r="AT104" s="17"/>
      <c r="AU104" s="17" t="n">
        <v>1</v>
      </c>
      <c r="AV104" s="17"/>
      <c r="AW104" s="17" t="n">
        <v>1</v>
      </c>
      <c r="AX104" s="17" t="n">
        <v>1</v>
      </c>
      <c r="AY104" s="17"/>
      <c r="AZ104" s="6" t="n">
        <v>1</v>
      </c>
      <c r="BA104" s="17"/>
    </row>
    <row r="105" customFormat="false" ht="15" hidden="false" customHeight="false" outlineLevel="0" collapsed="false">
      <c r="A105" s="17" t="s">
        <v>274</v>
      </c>
      <c r="B105" s="17" t="s">
        <v>275</v>
      </c>
      <c r="C105" s="18" t="n">
        <f aca="false">emissions!B104</f>
        <v>0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 t="n">
        <v>1</v>
      </c>
      <c r="N105" s="17"/>
      <c r="O105" s="17"/>
      <c r="P105" s="17"/>
      <c r="Q105" s="17"/>
      <c r="R105" s="17"/>
      <c r="S105" s="17"/>
      <c r="T105" s="6"/>
      <c r="U105" s="17"/>
      <c r="V105" s="6"/>
      <c r="W105" s="17"/>
      <c r="X105" s="17"/>
      <c r="Y105" s="17"/>
      <c r="Z105" s="17"/>
      <c r="AA105" s="17"/>
      <c r="AB105" s="17"/>
      <c r="AC105" s="6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 t="n">
        <v>1</v>
      </c>
      <c r="AS105" s="17"/>
      <c r="AT105" s="17"/>
      <c r="AU105" s="17" t="n">
        <v>1</v>
      </c>
      <c r="AV105" s="17"/>
      <c r="AW105" s="17" t="n">
        <v>1</v>
      </c>
      <c r="AX105" s="17" t="n">
        <v>1</v>
      </c>
      <c r="AY105" s="17"/>
      <c r="AZ105" s="6" t="n">
        <v>1</v>
      </c>
      <c r="BA105" s="17"/>
    </row>
    <row r="106" customFormat="false" ht="15" hidden="false" customHeight="false" outlineLevel="0" collapsed="false">
      <c r="A106" s="17" t="s">
        <v>276</v>
      </c>
      <c r="B106" s="17" t="s">
        <v>277</v>
      </c>
      <c r="C106" s="18" t="n">
        <f aca="false">emissions!B105</f>
        <v>0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 t="n">
        <v>1</v>
      </c>
      <c r="O106" s="17"/>
      <c r="P106" s="17"/>
      <c r="Q106" s="17"/>
      <c r="R106" s="17"/>
      <c r="S106" s="17"/>
      <c r="T106" s="6"/>
      <c r="U106" s="17"/>
      <c r="V106" s="6"/>
      <c r="W106" s="17" t="n">
        <v>1</v>
      </c>
      <c r="X106" s="17"/>
      <c r="Y106" s="17" t="n">
        <v>1</v>
      </c>
      <c r="Z106" s="17"/>
      <c r="AA106" s="17"/>
      <c r="AB106" s="17"/>
      <c r="AC106" s="6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 t="n">
        <v>1</v>
      </c>
      <c r="AS106" s="17"/>
      <c r="AT106" s="17"/>
      <c r="AU106" s="17" t="n">
        <v>1</v>
      </c>
      <c r="AV106" s="17"/>
      <c r="AW106" s="17"/>
      <c r="AX106" s="17"/>
      <c r="AY106" s="17"/>
      <c r="AZ106" s="6"/>
      <c r="BA106" s="17"/>
    </row>
    <row r="107" customFormat="false" ht="15" hidden="false" customHeight="false" outlineLevel="0" collapsed="false">
      <c r="A107" s="17" t="s">
        <v>278</v>
      </c>
      <c r="B107" s="17" t="s">
        <v>279</v>
      </c>
      <c r="C107" s="18" t="n">
        <f aca="false">emissions!B106</f>
        <v>0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 t="n">
        <v>1</v>
      </c>
      <c r="O107" s="17"/>
      <c r="P107" s="17"/>
      <c r="Q107" s="17"/>
      <c r="R107" s="17"/>
      <c r="S107" s="17"/>
      <c r="T107" s="6"/>
      <c r="U107" s="17"/>
      <c r="V107" s="6"/>
      <c r="W107" s="17"/>
      <c r="X107" s="17"/>
      <c r="Y107" s="17"/>
      <c r="Z107" s="17"/>
      <c r="AA107" s="17"/>
      <c r="AB107" s="17" t="n">
        <v>1</v>
      </c>
      <c r="AC107" s="6" t="n">
        <v>1</v>
      </c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 t="n">
        <v>1</v>
      </c>
      <c r="AO107" s="17" t="n">
        <v>1</v>
      </c>
      <c r="AP107" s="17" t="n">
        <v>1</v>
      </c>
      <c r="AQ107" s="17" t="n">
        <v>1</v>
      </c>
      <c r="AR107" s="17"/>
      <c r="AS107" s="17"/>
      <c r="AT107" s="17"/>
      <c r="AU107" s="17"/>
      <c r="AV107" s="17"/>
      <c r="AW107" s="17"/>
      <c r="AX107" s="17"/>
      <c r="AY107" s="17"/>
      <c r="AZ107" s="6"/>
      <c r="BA107" s="17"/>
    </row>
    <row r="108" customFormat="false" ht="15" hidden="false" customHeight="false" outlineLevel="0" collapsed="false">
      <c r="A108" s="17" t="s">
        <v>280</v>
      </c>
      <c r="B108" s="17" t="s">
        <v>281</v>
      </c>
      <c r="C108" s="18" t="n">
        <f aca="false">emissions!B107</f>
        <v>0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 t="n">
        <v>1</v>
      </c>
      <c r="O108" s="17"/>
      <c r="P108" s="17"/>
      <c r="Q108" s="17"/>
      <c r="R108" s="17"/>
      <c r="S108" s="17"/>
      <c r="T108" s="6"/>
      <c r="U108" s="17"/>
      <c r="V108" s="6"/>
      <c r="W108" s="17"/>
      <c r="X108" s="17"/>
      <c r="Y108" s="17"/>
      <c r="Z108" s="17"/>
      <c r="AA108" s="17"/>
      <c r="AB108" s="17" t="n">
        <v>1</v>
      </c>
      <c r="AC108" s="6" t="n">
        <v>1</v>
      </c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 t="n">
        <v>1</v>
      </c>
      <c r="AO108" s="17" t="n">
        <v>1</v>
      </c>
      <c r="AP108" s="17" t="n">
        <v>1</v>
      </c>
      <c r="AQ108" s="17" t="n">
        <v>1</v>
      </c>
      <c r="AR108" s="17" t="n">
        <v>1</v>
      </c>
      <c r="AS108" s="17" t="n">
        <v>1</v>
      </c>
      <c r="AT108" s="17"/>
      <c r="AU108" s="17"/>
      <c r="AV108" s="17"/>
      <c r="AW108" s="17"/>
      <c r="AX108" s="17"/>
      <c r="AY108" s="17"/>
      <c r="AZ108" s="6"/>
      <c r="BA108" s="17"/>
    </row>
    <row r="109" customFormat="false" ht="15" hidden="false" customHeight="false" outlineLevel="0" collapsed="false">
      <c r="A109" s="17" t="s">
        <v>282</v>
      </c>
      <c r="B109" s="17" t="s">
        <v>283</v>
      </c>
      <c r="C109" s="18" t="n">
        <f aca="false">emissions!B108</f>
        <v>0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 t="n">
        <v>1</v>
      </c>
      <c r="O109" s="17"/>
      <c r="P109" s="17"/>
      <c r="Q109" s="17"/>
      <c r="R109" s="17"/>
      <c r="S109" s="17"/>
      <c r="T109" s="6"/>
      <c r="U109" s="17"/>
      <c r="V109" s="6"/>
      <c r="W109" s="17"/>
      <c r="X109" s="17"/>
      <c r="Y109" s="17"/>
      <c r="Z109" s="17"/>
      <c r="AA109" s="17"/>
      <c r="AB109" s="17" t="n">
        <v>1</v>
      </c>
      <c r="AC109" s="6" t="n">
        <v>1</v>
      </c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 t="n">
        <v>1</v>
      </c>
      <c r="AS109" s="17" t="n">
        <v>1</v>
      </c>
      <c r="AT109" s="17"/>
      <c r="AU109" s="17"/>
      <c r="AV109" s="17"/>
      <c r="AW109" s="17"/>
      <c r="AX109" s="17"/>
      <c r="AY109" s="17"/>
      <c r="AZ109" s="6"/>
      <c r="BA109" s="17"/>
    </row>
    <row r="110" customFormat="false" ht="15" hidden="false" customHeight="false" outlineLevel="0" collapsed="false">
      <c r="A110" s="17" t="s">
        <v>284</v>
      </c>
      <c r="B110" s="17" t="s">
        <v>285</v>
      </c>
      <c r="C110" s="18" t="n">
        <f aca="false">emissions!B109</f>
        <v>0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 t="n">
        <v>1</v>
      </c>
      <c r="O110" s="17"/>
      <c r="P110" s="17"/>
      <c r="Q110" s="17"/>
      <c r="R110" s="17"/>
      <c r="S110" s="17"/>
      <c r="T110" s="6"/>
      <c r="U110" s="17" t="n">
        <v>1</v>
      </c>
      <c r="V110" s="6" t="n">
        <v>1</v>
      </c>
      <c r="W110" s="17"/>
      <c r="X110" s="17"/>
      <c r="Y110" s="17"/>
      <c r="Z110" s="17"/>
      <c r="AA110" s="17"/>
      <c r="AB110" s="17" t="n">
        <v>1</v>
      </c>
      <c r="AC110" s="6" t="n">
        <v>1</v>
      </c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 t="n">
        <v>1</v>
      </c>
      <c r="AO110" s="17" t="n">
        <v>1</v>
      </c>
      <c r="AP110" s="17" t="n">
        <v>1</v>
      </c>
      <c r="AQ110" s="17"/>
      <c r="AR110" s="17" t="n">
        <v>1</v>
      </c>
      <c r="AS110" s="17" t="n">
        <v>1</v>
      </c>
      <c r="AT110" s="17"/>
      <c r="AU110" s="17"/>
      <c r="AV110" s="17"/>
      <c r="AW110" s="17"/>
      <c r="AX110" s="17"/>
      <c r="AY110" s="17"/>
      <c r="AZ110" s="6"/>
      <c r="BA110" s="17"/>
    </row>
    <row r="111" customFormat="false" ht="15" hidden="false" customHeight="false" outlineLevel="0" collapsed="false">
      <c r="A111" s="17" t="s">
        <v>286</v>
      </c>
      <c r="B111" s="17" t="s">
        <v>287</v>
      </c>
      <c r="C111" s="18" t="n">
        <f aca="false">emissions!B110</f>
        <v>0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 t="n">
        <v>1</v>
      </c>
      <c r="O111" s="17"/>
      <c r="P111" s="17"/>
      <c r="Q111" s="17"/>
      <c r="R111" s="17"/>
      <c r="S111" s="17"/>
      <c r="T111" s="6"/>
      <c r="U111" s="17"/>
      <c r="V111" s="6"/>
      <c r="W111" s="17"/>
      <c r="X111" s="17"/>
      <c r="Y111" s="17"/>
      <c r="Z111" s="17"/>
      <c r="AA111" s="17"/>
      <c r="AB111" s="17" t="n">
        <v>1</v>
      </c>
      <c r="AC111" s="6" t="n">
        <v>1</v>
      </c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 t="n">
        <v>1</v>
      </c>
      <c r="AS111" s="17" t="n">
        <v>1</v>
      </c>
      <c r="AT111" s="17"/>
      <c r="AU111" s="17"/>
      <c r="AV111" s="17" t="n">
        <v>1</v>
      </c>
      <c r="AW111" s="17" t="n">
        <v>1</v>
      </c>
      <c r="AX111" s="17"/>
      <c r="AY111" s="17"/>
      <c r="AZ111" s="6"/>
      <c r="BA111" s="17"/>
    </row>
    <row r="112" customFormat="false" ht="15" hidden="false" customHeight="false" outlineLevel="0" collapsed="false">
      <c r="A112" s="17" t="s">
        <v>288</v>
      </c>
      <c r="B112" s="17" t="s">
        <v>289</v>
      </c>
      <c r="C112" s="18" t="n">
        <f aca="false">emissions!B111</f>
        <v>0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 t="n">
        <v>1</v>
      </c>
      <c r="O112" s="17"/>
      <c r="P112" s="17"/>
      <c r="Q112" s="17"/>
      <c r="R112" s="17"/>
      <c r="S112" s="17"/>
      <c r="T112" s="6"/>
      <c r="U112" s="17"/>
      <c r="V112" s="6"/>
      <c r="W112" s="17"/>
      <c r="X112" s="17"/>
      <c r="Y112" s="17"/>
      <c r="Z112" s="17"/>
      <c r="AA112" s="17"/>
      <c r="AB112" s="17" t="n">
        <v>1</v>
      </c>
      <c r="AC112" s="6" t="n">
        <v>1</v>
      </c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 t="n">
        <v>1</v>
      </c>
      <c r="AO112" s="17" t="n">
        <v>1</v>
      </c>
      <c r="AP112" s="17" t="n">
        <v>1</v>
      </c>
      <c r="AQ112" s="17" t="n">
        <v>1</v>
      </c>
      <c r="AR112" s="17"/>
      <c r="AS112" s="17"/>
      <c r="AT112" s="17"/>
      <c r="AU112" s="17"/>
      <c r="AV112" s="17"/>
      <c r="AW112" s="17"/>
      <c r="AX112" s="17"/>
      <c r="AY112" s="17"/>
      <c r="AZ112" s="6"/>
      <c r="BA112" s="17"/>
    </row>
    <row r="113" customFormat="false" ht="15" hidden="false" customHeight="false" outlineLevel="0" collapsed="false">
      <c r="A113" s="17" t="s">
        <v>290</v>
      </c>
      <c r="B113" s="17" t="s">
        <v>291</v>
      </c>
      <c r="C113" s="18" t="n">
        <f aca="false">emissions!B112</f>
        <v>0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 t="n">
        <v>1</v>
      </c>
      <c r="O113" s="17"/>
      <c r="P113" s="17"/>
      <c r="Q113" s="17"/>
      <c r="R113" s="17"/>
      <c r="S113" s="17"/>
      <c r="T113" s="6"/>
      <c r="U113" s="17" t="n">
        <v>1</v>
      </c>
      <c r="V113" s="6" t="n">
        <v>1</v>
      </c>
      <c r="W113" s="17"/>
      <c r="X113" s="17"/>
      <c r="Y113" s="17"/>
      <c r="Z113" s="17"/>
      <c r="AA113" s="17"/>
      <c r="AB113" s="17"/>
      <c r="AC113" s="6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 t="n">
        <v>1</v>
      </c>
      <c r="AO113" s="17" t="n">
        <v>1</v>
      </c>
      <c r="AP113" s="17" t="n">
        <v>1</v>
      </c>
      <c r="AQ113" s="17" t="n">
        <v>1</v>
      </c>
      <c r="AR113" s="17"/>
      <c r="AS113" s="17"/>
      <c r="AT113" s="17"/>
      <c r="AU113" s="17"/>
      <c r="AV113" s="17"/>
      <c r="AW113" s="17"/>
      <c r="AX113" s="17"/>
      <c r="AY113" s="17"/>
      <c r="AZ113" s="6"/>
      <c r="BA113" s="17"/>
    </row>
    <row r="114" customFormat="false" ht="15" hidden="false" customHeight="false" outlineLevel="0" collapsed="false">
      <c r="A114" s="17" t="s">
        <v>292</v>
      </c>
      <c r="B114" s="17" t="s">
        <v>293</v>
      </c>
      <c r="C114" s="18" t="n">
        <f aca="false">emissions!B113</f>
        <v>0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 t="n">
        <v>1</v>
      </c>
      <c r="O114" s="17"/>
      <c r="P114" s="17"/>
      <c r="Q114" s="17"/>
      <c r="R114" s="17"/>
      <c r="S114" s="17" t="n">
        <v>1</v>
      </c>
      <c r="T114" s="6"/>
      <c r="U114" s="17"/>
      <c r="V114" s="6"/>
      <c r="W114" s="17"/>
      <c r="X114" s="17"/>
      <c r="Y114" s="17"/>
      <c r="Z114" s="17"/>
      <c r="AA114" s="17"/>
      <c r="AB114" s="17"/>
      <c r="AC114" s="6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6"/>
      <c r="BA114" s="17"/>
    </row>
    <row r="115" customFormat="false" ht="15" hidden="false" customHeight="false" outlineLevel="0" collapsed="false">
      <c r="A115" s="17" t="s">
        <v>294</v>
      </c>
      <c r="B115" s="17" t="s">
        <v>295</v>
      </c>
      <c r="C115" s="18" t="n">
        <f aca="false">emissions!B114</f>
        <v>0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 t="n">
        <v>1</v>
      </c>
      <c r="O115" s="17"/>
      <c r="P115" s="17"/>
      <c r="Q115" s="17"/>
      <c r="R115" s="17"/>
      <c r="S115" s="17" t="n">
        <v>1</v>
      </c>
      <c r="T115" s="6" t="n">
        <v>1</v>
      </c>
      <c r="U115" s="17"/>
      <c r="V115" s="6"/>
      <c r="W115" s="17"/>
      <c r="X115" s="17"/>
      <c r="Y115" s="17"/>
      <c r="Z115" s="17"/>
      <c r="AA115" s="17"/>
      <c r="AB115" s="17"/>
      <c r="AC115" s="6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6"/>
      <c r="BA115" s="17"/>
    </row>
    <row r="116" customFormat="false" ht="15" hidden="false" customHeight="false" outlineLevel="0" collapsed="false">
      <c r="A116" s="17" t="s">
        <v>296</v>
      </c>
      <c r="B116" s="17" t="s">
        <v>297</v>
      </c>
      <c r="C116" s="18" t="n">
        <f aca="false">emissions!B115</f>
        <v>0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 t="n">
        <v>1</v>
      </c>
      <c r="O116" s="17"/>
      <c r="P116" s="17"/>
      <c r="Q116" s="17"/>
      <c r="R116" s="17"/>
      <c r="S116" s="17" t="n">
        <v>1</v>
      </c>
      <c r="T116" s="6" t="n">
        <v>1</v>
      </c>
      <c r="U116" s="17"/>
      <c r="V116" s="6"/>
      <c r="W116" s="17"/>
      <c r="X116" s="17"/>
      <c r="Y116" s="17"/>
      <c r="Z116" s="17"/>
      <c r="AA116" s="17"/>
      <c r="AB116" s="17"/>
      <c r="AC116" s="6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6"/>
      <c r="BA116" s="17"/>
    </row>
    <row r="117" customFormat="false" ht="15" hidden="false" customHeight="false" outlineLevel="0" collapsed="false">
      <c r="A117" s="17" t="s">
        <v>298</v>
      </c>
      <c r="B117" s="17" t="s">
        <v>299</v>
      </c>
      <c r="C117" s="18" t="n">
        <f aca="false">emissions!B116</f>
        <v>0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6"/>
      <c r="U117" s="17"/>
      <c r="V117" s="6"/>
      <c r="W117" s="17"/>
      <c r="X117" s="17"/>
      <c r="Y117" s="17"/>
      <c r="Z117" s="17"/>
      <c r="AA117" s="17"/>
      <c r="AB117" s="17"/>
      <c r="AC117" s="6"/>
      <c r="AD117" s="17"/>
      <c r="AE117" s="17"/>
      <c r="AF117" s="17"/>
      <c r="AG117" s="17"/>
      <c r="AH117" s="17"/>
      <c r="AI117" s="17" t="n">
        <v>1</v>
      </c>
      <c r="AJ117" s="17"/>
      <c r="AK117" s="17"/>
      <c r="AL117" s="17" t="n">
        <v>1</v>
      </c>
      <c r="AM117" s="17"/>
      <c r="AN117" s="17" t="n">
        <v>1</v>
      </c>
      <c r="AO117" s="17" t="n">
        <v>1</v>
      </c>
      <c r="AP117" s="17" t="n">
        <v>1</v>
      </c>
      <c r="AQ117" s="17" t="n">
        <v>1</v>
      </c>
      <c r="AR117" s="17" t="n">
        <v>1</v>
      </c>
      <c r="AS117" s="17" t="n">
        <v>1</v>
      </c>
      <c r="AT117" s="17" t="n">
        <v>1</v>
      </c>
      <c r="AU117" s="17"/>
      <c r="AV117" s="17" t="n">
        <v>1</v>
      </c>
      <c r="AW117" s="17" t="n">
        <v>1</v>
      </c>
      <c r="AX117" s="17"/>
      <c r="AY117" s="17"/>
      <c r="AZ117" s="6"/>
      <c r="BA117" s="17"/>
    </row>
    <row r="118" customFormat="false" ht="15" hidden="false" customHeight="false" outlineLevel="0" collapsed="false">
      <c r="A118" s="17" t="s">
        <v>300</v>
      </c>
      <c r="B118" s="17" t="s">
        <v>301</v>
      </c>
      <c r="C118" s="18" t="n">
        <f aca="false">emissions!B117</f>
        <v>0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6"/>
      <c r="U118" s="17"/>
      <c r="V118" s="6"/>
      <c r="W118" s="17"/>
      <c r="X118" s="17"/>
      <c r="Y118" s="17" t="n">
        <v>1</v>
      </c>
      <c r="Z118" s="17"/>
      <c r="AA118" s="17"/>
      <c r="AB118" s="17"/>
      <c r="AC118" s="6"/>
      <c r="AD118" s="17"/>
      <c r="AE118" s="17"/>
      <c r="AF118" s="17"/>
      <c r="AG118" s="17"/>
      <c r="AH118" s="17"/>
      <c r="AI118" s="17" t="n">
        <v>1</v>
      </c>
      <c r="AJ118" s="17"/>
      <c r="AK118" s="17"/>
      <c r="AL118" s="17" t="n">
        <v>1</v>
      </c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6" t="n">
        <v>1</v>
      </c>
      <c r="BA118" s="17"/>
    </row>
    <row r="119" customFormat="false" ht="15" hidden="false" customHeight="false" outlineLevel="0" collapsed="false">
      <c r="A119" s="17" t="s">
        <v>302</v>
      </c>
      <c r="B119" s="17" t="s">
        <v>303</v>
      </c>
      <c r="C119" s="18" t="n">
        <f aca="false">emissions!B118</f>
        <v>0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6"/>
      <c r="U119" s="17"/>
      <c r="V119" s="6"/>
      <c r="W119" s="17"/>
      <c r="X119" s="17"/>
      <c r="Y119" s="17"/>
      <c r="Z119" s="17"/>
      <c r="AA119" s="17"/>
      <c r="AB119" s="17"/>
      <c r="AC119" s="6"/>
      <c r="AD119" s="17"/>
      <c r="AE119" s="17"/>
      <c r="AF119" s="17"/>
      <c r="AG119" s="17"/>
      <c r="AH119" s="17"/>
      <c r="AI119" s="17" t="n">
        <v>1</v>
      </c>
      <c r="AJ119" s="17"/>
      <c r="AK119" s="17"/>
      <c r="AL119" s="17" t="n">
        <v>1</v>
      </c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6"/>
      <c r="BA119" s="17"/>
    </row>
    <row r="120" customFormat="false" ht="15" hidden="false" customHeight="false" outlineLevel="0" collapsed="false">
      <c r="A120" s="17" t="s">
        <v>304</v>
      </c>
      <c r="B120" s="17" t="s">
        <v>305</v>
      </c>
      <c r="C120" s="18" t="n">
        <f aca="false">emissions!B119</f>
        <v>0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6"/>
      <c r="U120" s="17"/>
      <c r="V120" s="6"/>
      <c r="W120" s="17"/>
      <c r="X120" s="17"/>
      <c r="Y120" s="17"/>
      <c r="Z120" s="17"/>
      <c r="AA120" s="17"/>
      <c r="AB120" s="17"/>
      <c r="AC120" s="6"/>
      <c r="AD120" s="17"/>
      <c r="AE120" s="17"/>
      <c r="AF120" s="17"/>
      <c r="AG120" s="17"/>
      <c r="AH120" s="17"/>
      <c r="AI120" s="17" t="n">
        <v>1</v>
      </c>
      <c r="AJ120" s="17"/>
      <c r="AK120" s="17"/>
      <c r="AL120" s="17" t="n">
        <v>1</v>
      </c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6"/>
      <c r="BA120" s="17"/>
    </row>
    <row r="121" customFormat="false" ht="15" hidden="false" customHeight="false" outlineLevel="0" collapsed="false">
      <c r="A121" s="17" t="s">
        <v>306</v>
      </c>
      <c r="B121" s="17" t="s">
        <v>307</v>
      </c>
      <c r="C121" s="18" t="n">
        <f aca="false">emissions!B120</f>
        <v>0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 t="n">
        <v>1</v>
      </c>
      <c r="O121" s="17"/>
      <c r="P121" s="17"/>
      <c r="Q121" s="17"/>
      <c r="R121" s="17"/>
      <c r="S121" s="17"/>
      <c r="T121" s="6"/>
      <c r="U121" s="17"/>
      <c r="V121" s="6"/>
      <c r="W121" s="17" t="n">
        <v>1</v>
      </c>
      <c r="X121" s="17"/>
      <c r="Y121" s="17" t="n">
        <v>1</v>
      </c>
      <c r="Z121" s="17"/>
      <c r="AA121" s="17"/>
      <c r="AB121" s="17"/>
      <c r="AC121" s="6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6"/>
      <c r="BA121" s="17"/>
    </row>
    <row r="122" customFormat="false" ht="15" hidden="false" customHeight="false" outlineLevel="0" collapsed="false">
      <c r="A122" s="17" t="s">
        <v>308</v>
      </c>
      <c r="B122" s="17" t="s">
        <v>309</v>
      </c>
      <c r="C122" s="18" t="n">
        <f aca="false">emissions!B121</f>
        <v>0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 t="n">
        <v>1</v>
      </c>
      <c r="O122" s="17"/>
      <c r="P122" s="17"/>
      <c r="Q122" s="17"/>
      <c r="R122" s="17"/>
      <c r="S122" s="17"/>
      <c r="T122" s="6"/>
      <c r="U122" s="17"/>
      <c r="V122" s="6"/>
      <c r="W122" s="17" t="n">
        <v>1</v>
      </c>
      <c r="X122" s="17"/>
      <c r="Y122" s="17" t="n">
        <v>1</v>
      </c>
      <c r="Z122" s="17"/>
      <c r="AA122" s="17"/>
      <c r="AB122" s="17"/>
      <c r="AC122" s="6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 t="n">
        <v>1</v>
      </c>
      <c r="AS122" s="17"/>
      <c r="AT122" s="17"/>
      <c r="AU122" s="17"/>
      <c r="AV122" s="17" t="n">
        <v>1</v>
      </c>
      <c r="AW122" s="17"/>
      <c r="AX122" s="17"/>
      <c r="AY122" s="17"/>
      <c r="AZ122" s="6"/>
      <c r="BA122" s="17"/>
    </row>
    <row r="123" customFormat="false" ht="15" hidden="false" customHeight="false" outlineLevel="0" collapsed="false">
      <c r="A123" s="17" t="s">
        <v>310</v>
      </c>
      <c r="B123" s="17" t="s">
        <v>311</v>
      </c>
      <c r="C123" s="18" t="n">
        <f aca="false">emissions!B122</f>
        <v>0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 t="n">
        <v>1</v>
      </c>
      <c r="N123" s="17" t="n">
        <v>1</v>
      </c>
      <c r="O123" s="17"/>
      <c r="P123" s="17"/>
      <c r="Q123" s="17"/>
      <c r="R123" s="17"/>
      <c r="S123" s="17"/>
      <c r="T123" s="6"/>
      <c r="U123" s="17"/>
      <c r="V123" s="6"/>
      <c r="W123" s="17"/>
      <c r="X123" s="17"/>
      <c r="Y123" s="17"/>
      <c r="Z123" s="17"/>
      <c r="AA123" s="17"/>
      <c r="AB123" s="17" t="n">
        <v>1</v>
      </c>
      <c r="AC123" s="6" t="n">
        <v>1</v>
      </c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 t="n">
        <v>1</v>
      </c>
      <c r="AY123" s="17" t="n">
        <v>1</v>
      </c>
      <c r="AZ123" s="6"/>
      <c r="BA123" s="17"/>
    </row>
    <row r="124" customFormat="false" ht="15" hidden="false" customHeight="false" outlineLevel="0" collapsed="false">
      <c r="A124" s="17" t="s">
        <v>312</v>
      </c>
      <c r="B124" s="17" t="s">
        <v>313</v>
      </c>
      <c r="C124" s="18" t="n">
        <f aca="false">emissions!B123</f>
        <v>0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 t="n">
        <v>1</v>
      </c>
      <c r="N124" s="17" t="n">
        <v>1</v>
      </c>
      <c r="O124" s="17"/>
      <c r="P124" s="17"/>
      <c r="Q124" s="17"/>
      <c r="R124" s="17"/>
      <c r="S124" s="17"/>
      <c r="T124" s="6"/>
      <c r="U124" s="17"/>
      <c r="V124" s="6"/>
      <c r="W124" s="17"/>
      <c r="X124" s="17"/>
      <c r="Y124" s="17"/>
      <c r="Z124" s="17"/>
      <c r="AA124" s="17"/>
      <c r="AB124" s="17" t="n">
        <v>1</v>
      </c>
      <c r="AC124" s="6" t="n">
        <v>1</v>
      </c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 t="n">
        <v>1</v>
      </c>
      <c r="AS124" s="17" t="n">
        <v>1</v>
      </c>
      <c r="AT124" s="17"/>
      <c r="AU124" s="17"/>
      <c r="AV124" s="17"/>
      <c r="AW124" s="17"/>
      <c r="AX124" s="17" t="n">
        <v>1</v>
      </c>
      <c r="AY124" s="17" t="n">
        <v>1</v>
      </c>
      <c r="AZ124" s="6"/>
      <c r="BA124" s="17"/>
    </row>
    <row r="125" customFormat="false" ht="15" hidden="false" customHeight="false" outlineLevel="0" collapsed="false">
      <c r="A125" s="17" t="s">
        <v>314</v>
      </c>
      <c r="B125" s="17" t="s">
        <v>315</v>
      </c>
      <c r="C125" s="18" t="n">
        <f aca="false">emissions!B124</f>
        <v>0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 t="n">
        <v>1</v>
      </c>
      <c r="N125" s="17" t="n">
        <v>1</v>
      </c>
      <c r="O125" s="17"/>
      <c r="P125" s="17"/>
      <c r="Q125" s="17"/>
      <c r="R125" s="17"/>
      <c r="S125" s="17"/>
      <c r="T125" s="6"/>
      <c r="U125" s="17"/>
      <c r="V125" s="6"/>
      <c r="W125" s="17"/>
      <c r="X125" s="17"/>
      <c r="Y125" s="17"/>
      <c r="Z125" s="17"/>
      <c r="AA125" s="17"/>
      <c r="AB125" s="17" t="n">
        <v>1</v>
      </c>
      <c r="AC125" s="6" t="n">
        <v>1</v>
      </c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 t="n">
        <v>1</v>
      </c>
      <c r="AS125" s="17" t="n">
        <v>1</v>
      </c>
      <c r="AT125" s="17"/>
      <c r="AU125" s="17"/>
      <c r="AV125" s="17"/>
      <c r="AW125" s="17"/>
      <c r="AX125" s="17" t="n">
        <v>1</v>
      </c>
      <c r="AY125" s="17" t="n">
        <v>1</v>
      </c>
      <c r="AZ125" s="6"/>
      <c r="BA125" s="17"/>
    </row>
    <row r="126" customFormat="false" ht="15" hidden="false" customHeight="false" outlineLevel="0" collapsed="false">
      <c r="A126" s="17" t="s">
        <v>316</v>
      </c>
      <c r="B126" s="17" t="s">
        <v>317</v>
      </c>
      <c r="C126" s="18" t="n">
        <f aca="false">emissions!B125</f>
        <v>0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 t="n">
        <v>1</v>
      </c>
      <c r="N126" s="17" t="n">
        <v>1</v>
      </c>
      <c r="O126" s="17"/>
      <c r="P126" s="17"/>
      <c r="Q126" s="17"/>
      <c r="R126" s="17"/>
      <c r="S126" s="17"/>
      <c r="T126" s="6"/>
      <c r="U126" s="17"/>
      <c r="V126" s="6"/>
      <c r="W126" s="17" t="n">
        <v>1</v>
      </c>
      <c r="X126" s="17"/>
      <c r="Y126" s="17" t="n">
        <v>1</v>
      </c>
      <c r="Z126" s="17"/>
      <c r="AA126" s="17" t="n">
        <v>1</v>
      </c>
      <c r="AB126" s="17" t="n">
        <v>1</v>
      </c>
      <c r="AC126" s="6" t="n">
        <v>1</v>
      </c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 t="n">
        <v>1</v>
      </c>
      <c r="AS126" s="17" t="n">
        <v>1</v>
      </c>
      <c r="AT126" s="17" t="n">
        <v>1</v>
      </c>
      <c r="AU126" s="17"/>
      <c r="AV126" s="17"/>
      <c r="AW126" s="17"/>
      <c r="AX126" s="17" t="n">
        <v>1</v>
      </c>
      <c r="AY126" s="17" t="n">
        <v>1</v>
      </c>
      <c r="AZ126" s="6"/>
      <c r="BA126" s="17"/>
    </row>
    <row r="127" customFormat="false" ht="15" hidden="false" customHeight="false" outlineLevel="0" collapsed="false">
      <c r="A127" s="17" t="s">
        <v>318</v>
      </c>
      <c r="B127" s="17" t="s">
        <v>319</v>
      </c>
      <c r="C127" s="18" t="n">
        <f aca="false">emissions!B126</f>
        <v>0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 t="n">
        <v>1</v>
      </c>
      <c r="O127" s="17"/>
      <c r="P127" s="17"/>
      <c r="Q127" s="17"/>
      <c r="R127" s="17"/>
      <c r="S127" s="17"/>
      <c r="T127" s="6"/>
      <c r="U127" s="17"/>
      <c r="V127" s="6"/>
      <c r="W127" s="17" t="n">
        <v>1</v>
      </c>
      <c r="X127" s="17"/>
      <c r="Y127" s="17" t="n">
        <v>1</v>
      </c>
      <c r="Z127" s="17"/>
      <c r="AA127" s="17"/>
      <c r="AB127" s="17"/>
      <c r="AC127" s="6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6"/>
      <c r="BA127" s="17"/>
    </row>
    <row r="128" customFormat="false" ht="15" hidden="false" customHeight="false" outlineLevel="0" collapsed="false">
      <c r="A128" s="17" t="s">
        <v>320</v>
      </c>
      <c r="B128" s="17" t="s">
        <v>321</v>
      </c>
      <c r="C128" s="18" t="n">
        <f aca="false">emissions!B127</f>
        <v>0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 t="n">
        <v>1</v>
      </c>
      <c r="N128" s="17"/>
      <c r="O128" s="17"/>
      <c r="P128" s="17"/>
      <c r="Q128" s="17"/>
      <c r="R128" s="17"/>
      <c r="S128" s="17"/>
      <c r="T128" s="6"/>
      <c r="U128" s="17"/>
      <c r="V128" s="6"/>
      <c r="W128" s="17"/>
      <c r="X128" s="17"/>
      <c r="Y128" s="17"/>
      <c r="Z128" s="17"/>
      <c r="AA128" s="17"/>
      <c r="AB128" s="17"/>
      <c r="AC128" s="6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6"/>
      <c r="BA128" s="17"/>
    </row>
    <row r="129" customFormat="false" ht="15" hidden="false" customHeight="false" outlineLevel="0" collapsed="false">
      <c r="A129" s="17" t="s">
        <v>322</v>
      </c>
      <c r="B129" s="17" t="s">
        <v>323</v>
      </c>
      <c r="C129" s="18" t="n">
        <f aca="false">emissions!B128</f>
        <v>0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 t="n">
        <v>1</v>
      </c>
      <c r="N129" s="17"/>
      <c r="O129" s="17"/>
      <c r="P129" s="17"/>
      <c r="Q129" s="17"/>
      <c r="R129" s="17"/>
      <c r="S129" s="17"/>
      <c r="T129" s="6"/>
      <c r="U129" s="17"/>
      <c r="V129" s="6"/>
      <c r="W129" s="17"/>
      <c r="X129" s="17"/>
      <c r="Y129" s="17"/>
      <c r="Z129" s="17"/>
      <c r="AA129" s="17"/>
      <c r="AB129" s="17"/>
      <c r="AC129" s="6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6"/>
      <c r="BA129" s="17"/>
    </row>
    <row r="130" customFormat="false" ht="15" hidden="false" customHeight="false" outlineLevel="0" collapsed="false">
      <c r="A130" s="17" t="s">
        <v>324</v>
      </c>
      <c r="B130" s="17" t="s">
        <v>325</v>
      </c>
      <c r="C130" s="18" t="n">
        <f aca="false">emissions!B129</f>
        <v>0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 t="n">
        <v>1</v>
      </c>
      <c r="N130" s="17"/>
      <c r="O130" s="17"/>
      <c r="P130" s="17"/>
      <c r="Q130" s="17"/>
      <c r="R130" s="17"/>
      <c r="S130" s="17"/>
      <c r="T130" s="6"/>
      <c r="U130" s="17"/>
      <c r="V130" s="6"/>
      <c r="W130" s="17"/>
      <c r="X130" s="17"/>
      <c r="Y130" s="17"/>
      <c r="Z130" s="17"/>
      <c r="AA130" s="17"/>
      <c r="AB130" s="17"/>
      <c r="AC130" s="6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6"/>
      <c r="BA130" s="17"/>
    </row>
    <row r="131" customFormat="false" ht="15" hidden="false" customHeight="false" outlineLevel="0" collapsed="false">
      <c r="A131" s="17" t="s">
        <v>326</v>
      </c>
      <c r="B131" s="17" t="s">
        <v>327</v>
      </c>
      <c r="C131" s="18" t="n">
        <f aca="false">emissions!B130</f>
        <v>0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 t="n">
        <v>1</v>
      </c>
      <c r="N131" s="17"/>
      <c r="O131" s="17"/>
      <c r="P131" s="17"/>
      <c r="Q131" s="17"/>
      <c r="R131" s="17"/>
      <c r="S131" s="17"/>
      <c r="T131" s="6"/>
      <c r="U131" s="17"/>
      <c r="V131" s="6"/>
      <c r="W131" s="17"/>
      <c r="X131" s="17"/>
      <c r="Y131" s="17"/>
      <c r="Z131" s="17"/>
      <c r="AA131" s="17"/>
      <c r="AB131" s="17"/>
      <c r="AC131" s="6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6"/>
      <c r="BA131" s="17"/>
    </row>
    <row r="132" customFormat="false" ht="15" hidden="false" customHeight="false" outlineLevel="0" collapsed="false">
      <c r="A132" s="17" t="s">
        <v>328</v>
      </c>
      <c r="B132" s="17" t="s">
        <v>329</v>
      </c>
      <c r="C132" s="18" t="n">
        <f aca="false">emissions!B131</f>
        <v>0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 t="n">
        <v>1</v>
      </c>
      <c r="N132" s="17"/>
      <c r="O132" s="17"/>
      <c r="P132" s="17"/>
      <c r="Q132" s="17"/>
      <c r="R132" s="17"/>
      <c r="S132" s="17"/>
      <c r="T132" s="6"/>
      <c r="U132" s="17"/>
      <c r="V132" s="6"/>
      <c r="W132" s="17"/>
      <c r="X132" s="17"/>
      <c r="Y132" s="17"/>
      <c r="Z132" s="17"/>
      <c r="AA132" s="17"/>
      <c r="AB132" s="17"/>
      <c r="AC132" s="6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6"/>
      <c r="BA132" s="17"/>
    </row>
    <row r="133" customFormat="false" ht="15" hidden="false" customHeight="false" outlineLevel="0" collapsed="false">
      <c r="A133" s="17" t="s">
        <v>330</v>
      </c>
      <c r="B133" s="33" t="s">
        <v>331</v>
      </c>
      <c r="C133" s="18" t="n">
        <f aca="false">emissions!B132</f>
        <v>0</v>
      </c>
      <c r="D133" s="17"/>
      <c r="E133" s="17"/>
      <c r="F133" s="17" t="n">
        <v>1</v>
      </c>
      <c r="G133" s="17" t="n">
        <v>1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6"/>
      <c r="U133" s="17"/>
      <c r="V133" s="6"/>
      <c r="W133" s="17"/>
      <c r="X133" s="17"/>
      <c r="Y133" s="17"/>
      <c r="Z133" s="17"/>
      <c r="AA133" s="17"/>
      <c r="AB133" s="17"/>
      <c r="AC133" s="6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6"/>
      <c r="BA133" s="17"/>
    </row>
    <row r="134" customFormat="false" ht="15" hidden="false" customHeight="false" outlineLevel="0" collapsed="false">
      <c r="A134" s="17" t="s">
        <v>332</v>
      </c>
      <c r="B134" s="17" t="s">
        <v>333</v>
      </c>
      <c r="C134" s="18" t="n">
        <f aca="false">emissions!B133</f>
        <v>0</v>
      </c>
      <c r="D134" s="17"/>
      <c r="E134" s="17"/>
      <c r="F134" s="17"/>
      <c r="G134" s="17" t="n">
        <v>1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6"/>
      <c r="U134" s="17"/>
      <c r="V134" s="6"/>
      <c r="W134" s="17"/>
      <c r="X134" s="17"/>
      <c r="Y134" s="17"/>
      <c r="Z134" s="17"/>
      <c r="AA134" s="17"/>
      <c r="AB134" s="17"/>
      <c r="AC134" s="6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6"/>
      <c r="BA134" s="17"/>
    </row>
    <row r="135" customFormat="false" ht="15" hidden="false" customHeight="false" outlineLevel="0" collapsed="false">
      <c r="A135" s="17" t="s">
        <v>334</v>
      </c>
      <c r="B135" s="17" t="s">
        <v>335</v>
      </c>
      <c r="C135" s="18" t="n">
        <f aca="false">emissions!B134</f>
        <v>0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 t="n">
        <v>1</v>
      </c>
      <c r="O135" s="17"/>
      <c r="P135" s="17"/>
      <c r="Q135" s="17"/>
      <c r="R135" s="17"/>
      <c r="S135" s="17"/>
      <c r="T135" s="6"/>
      <c r="U135" s="17"/>
      <c r="V135" s="6"/>
      <c r="W135" s="17" t="n">
        <v>1</v>
      </c>
      <c r="X135" s="17"/>
      <c r="Y135" s="17" t="n">
        <v>1</v>
      </c>
      <c r="Z135" s="17"/>
      <c r="AA135" s="17"/>
      <c r="AB135" s="17"/>
      <c r="AC135" s="6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6"/>
      <c r="BA135" s="17"/>
    </row>
    <row r="136" customFormat="false" ht="15" hidden="false" customHeight="false" outlineLevel="0" collapsed="false">
      <c r="A136" s="17" t="s">
        <v>336</v>
      </c>
      <c r="B136" s="17" t="s">
        <v>337</v>
      </c>
      <c r="C136" s="18" t="n">
        <f aca="false">emissions!B135</f>
        <v>0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 t="n">
        <v>1</v>
      </c>
      <c r="O136" s="17"/>
      <c r="P136" s="17"/>
      <c r="Q136" s="17"/>
      <c r="R136" s="17"/>
      <c r="S136" s="17"/>
      <c r="T136" s="6"/>
      <c r="U136" s="17"/>
      <c r="V136" s="6"/>
      <c r="W136" s="17" t="n">
        <v>1</v>
      </c>
      <c r="X136" s="17"/>
      <c r="Y136" s="17"/>
      <c r="Z136" s="17" t="n">
        <v>1</v>
      </c>
      <c r="AA136" s="17"/>
      <c r="AB136" s="17"/>
      <c r="AC136" s="6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6"/>
      <c r="BA136" s="17"/>
    </row>
    <row r="137" customFormat="false" ht="15" hidden="false" customHeight="false" outlineLevel="0" collapsed="false">
      <c r="A137" s="17" t="s">
        <v>338</v>
      </c>
      <c r="B137" s="17" t="s">
        <v>339</v>
      </c>
      <c r="C137" s="18" t="n">
        <f aca="false">emissions!B136</f>
        <v>0</v>
      </c>
      <c r="D137" s="17" t="n">
        <v>1</v>
      </c>
      <c r="E137" s="17"/>
      <c r="F137" s="17"/>
      <c r="G137" s="17"/>
      <c r="H137" s="17"/>
      <c r="I137" s="17" t="n">
        <v>1</v>
      </c>
      <c r="J137" s="17" t="n">
        <v>1</v>
      </c>
      <c r="K137" s="17" t="n">
        <v>1</v>
      </c>
      <c r="L137" s="17"/>
      <c r="M137" s="17"/>
      <c r="N137" s="17"/>
      <c r="O137" s="17"/>
      <c r="P137" s="17"/>
      <c r="Q137" s="17"/>
      <c r="R137" s="17"/>
      <c r="S137" s="17"/>
      <c r="T137" s="6"/>
      <c r="U137" s="17"/>
      <c r="V137" s="6"/>
      <c r="W137" s="17"/>
      <c r="X137" s="17"/>
      <c r="Y137" s="17"/>
      <c r="Z137" s="17"/>
      <c r="AA137" s="17"/>
      <c r="AB137" s="17"/>
      <c r="AC137" s="6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6"/>
      <c r="BA137" s="17"/>
    </row>
    <row r="138" customFormat="false" ht="15" hidden="false" customHeight="false" outlineLevel="0" collapsed="false">
      <c r="A138" s="17" t="s">
        <v>340</v>
      </c>
      <c r="B138" s="17" t="s">
        <v>341</v>
      </c>
      <c r="C138" s="18" t="n">
        <f aca="false">emissions!B137</f>
        <v>0</v>
      </c>
      <c r="D138" s="17" t="n">
        <v>1</v>
      </c>
      <c r="E138" s="17"/>
      <c r="F138" s="17"/>
      <c r="G138" s="17"/>
      <c r="H138" s="17"/>
      <c r="I138" s="17" t="n">
        <v>1</v>
      </c>
      <c r="J138" s="17" t="n">
        <v>1</v>
      </c>
      <c r="K138" s="17" t="n">
        <v>1</v>
      </c>
      <c r="L138" s="17"/>
      <c r="M138" s="17"/>
      <c r="N138" s="17"/>
      <c r="O138" s="17"/>
      <c r="P138" s="17"/>
      <c r="Q138" s="17"/>
      <c r="R138" s="17"/>
      <c r="S138" s="17"/>
      <c r="T138" s="6"/>
      <c r="U138" s="17"/>
      <c r="V138" s="6"/>
      <c r="W138" s="17"/>
      <c r="X138" s="17"/>
      <c r="Y138" s="17"/>
      <c r="Z138" s="17"/>
      <c r="AA138" s="17"/>
      <c r="AB138" s="17"/>
      <c r="AC138" s="6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6"/>
      <c r="BA138" s="17"/>
    </row>
    <row r="139" customFormat="false" ht="15" hidden="false" customHeight="false" outlineLevel="0" collapsed="false">
      <c r="A139" s="17" t="s">
        <v>342</v>
      </c>
      <c r="B139" s="17" t="s">
        <v>343</v>
      </c>
      <c r="C139" s="18" t="n">
        <f aca="false">emissions!B138</f>
        <v>0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 t="n">
        <v>1</v>
      </c>
      <c r="O139" s="17"/>
      <c r="P139" s="17"/>
      <c r="Q139" s="17"/>
      <c r="R139" s="17"/>
      <c r="S139" s="17"/>
      <c r="T139" s="6"/>
      <c r="U139" s="17"/>
      <c r="V139" s="6"/>
      <c r="W139" s="17" t="n">
        <v>1</v>
      </c>
      <c r="X139" s="17"/>
      <c r="Y139" s="17"/>
      <c r="Z139" s="17" t="n">
        <v>1</v>
      </c>
      <c r="AA139" s="17"/>
      <c r="AB139" s="17"/>
      <c r="AC139" s="6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6"/>
      <c r="BA139" s="17"/>
    </row>
    <row r="140" customFormat="false" ht="15" hidden="false" customHeight="false" outlineLevel="0" collapsed="false">
      <c r="A140" s="17" t="s">
        <v>344</v>
      </c>
      <c r="B140" s="17" t="s">
        <v>345</v>
      </c>
      <c r="C140" s="18" t="n">
        <f aca="false">emissions!B139</f>
        <v>0</v>
      </c>
      <c r="D140" s="17" t="n">
        <v>1</v>
      </c>
      <c r="E140" s="17"/>
      <c r="F140" s="17"/>
      <c r="G140" s="17"/>
      <c r="H140" s="17"/>
      <c r="I140" s="17"/>
      <c r="J140" s="17" t="n">
        <v>1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6"/>
      <c r="U140" s="17"/>
      <c r="V140" s="6"/>
      <c r="W140" s="17"/>
      <c r="X140" s="17"/>
      <c r="Y140" s="17"/>
      <c r="Z140" s="17"/>
      <c r="AA140" s="17"/>
      <c r="AB140" s="17"/>
      <c r="AC140" s="6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6"/>
      <c r="BA140" s="17"/>
    </row>
    <row r="141" customFormat="false" ht="15" hidden="false" customHeight="false" outlineLevel="0" collapsed="false">
      <c r="A141" s="17" t="s">
        <v>346</v>
      </c>
      <c r="B141" s="17" t="s">
        <v>347</v>
      </c>
      <c r="C141" s="18" t="n">
        <f aca="false">emissions!B140</f>
        <v>0</v>
      </c>
      <c r="D141" s="17" t="n">
        <v>1</v>
      </c>
      <c r="E141" s="17"/>
      <c r="F141" s="17"/>
      <c r="G141" s="17"/>
      <c r="H141" s="17"/>
      <c r="I141" s="17" t="n">
        <v>1</v>
      </c>
      <c r="J141" s="17" t="n">
        <v>1</v>
      </c>
      <c r="K141" s="17" t="n">
        <v>1</v>
      </c>
      <c r="L141" s="17"/>
      <c r="M141" s="17"/>
      <c r="N141" s="17"/>
      <c r="O141" s="17"/>
      <c r="P141" s="17"/>
      <c r="Q141" s="17"/>
      <c r="R141" s="17"/>
      <c r="S141" s="17"/>
      <c r="T141" s="6"/>
      <c r="U141" s="17"/>
      <c r="V141" s="6"/>
      <c r="W141" s="17"/>
      <c r="X141" s="17"/>
      <c r="Y141" s="17"/>
      <c r="Z141" s="17"/>
      <c r="AA141" s="17"/>
      <c r="AB141" s="17"/>
      <c r="AC141" s="6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6"/>
      <c r="BA141" s="17"/>
    </row>
    <row r="142" customFormat="false" ht="15" hidden="false" customHeight="false" outlineLevel="0" collapsed="false">
      <c r="A142" s="17" t="s">
        <v>348</v>
      </c>
      <c r="B142" s="17" t="s">
        <v>349</v>
      </c>
      <c r="C142" s="18" t="n">
        <f aca="false">emissions!B141</f>
        <v>0</v>
      </c>
      <c r="D142" s="17" t="n">
        <v>1</v>
      </c>
      <c r="E142" s="17"/>
      <c r="F142" s="17"/>
      <c r="G142" s="17"/>
      <c r="H142" s="17"/>
      <c r="I142" s="17" t="n">
        <v>1</v>
      </c>
      <c r="J142" s="17"/>
      <c r="K142" s="17" t="n">
        <v>1</v>
      </c>
      <c r="L142" s="17"/>
      <c r="M142" s="17"/>
      <c r="N142" s="17" t="n">
        <v>1</v>
      </c>
      <c r="O142" s="17"/>
      <c r="P142" s="17"/>
      <c r="Q142" s="17"/>
      <c r="R142" s="17"/>
      <c r="S142" s="17"/>
      <c r="T142" s="6"/>
      <c r="U142" s="17"/>
      <c r="V142" s="6"/>
      <c r="W142" s="17" t="n">
        <v>1</v>
      </c>
      <c r="X142" s="17"/>
      <c r="Y142" s="17"/>
      <c r="Z142" s="17" t="n">
        <v>1</v>
      </c>
      <c r="AA142" s="17"/>
      <c r="AB142" s="17"/>
      <c r="AC142" s="6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6"/>
      <c r="BA142" s="17"/>
    </row>
    <row r="143" customFormat="false" ht="15" hidden="false" customHeight="false" outlineLevel="0" collapsed="false">
      <c r="A143" s="17" t="s">
        <v>350</v>
      </c>
      <c r="B143" s="19" t="s">
        <v>351</v>
      </c>
      <c r="C143" s="18" t="n">
        <f aca="false">emissions!B142</f>
        <v>0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6"/>
      <c r="U143" s="17"/>
      <c r="V143" s="6"/>
      <c r="W143" s="17"/>
      <c r="X143" s="17"/>
      <c r="Y143" s="17"/>
      <c r="Z143" s="17"/>
      <c r="AA143" s="17"/>
      <c r="AB143" s="17"/>
      <c r="AC143" s="6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6"/>
      <c r="BA143" s="17"/>
    </row>
    <row r="144" customFormat="false" ht="15" hidden="false" customHeight="false" outlineLevel="0" collapsed="false">
      <c r="A144" s="17" t="s">
        <v>352</v>
      </c>
      <c r="B144" s="17" t="s">
        <v>353</v>
      </c>
      <c r="C144" s="18" t="n">
        <f aca="false">emissions!B143</f>
        <v>0</v>
      </c>
      <c r="D144" s="17" t="n">
        <v>1</v>
      </c>
      <c r="E144" s="17"/>
      <c r="F144" s="17"/>
      <c r="G144" s="17"/>
      <c r="H144" s="17"/>
      <c r="I144" s="17"/>
      <c r="J144" s="17"/>
      <c r="K144" s="17" t="n">
        <v>1</v>
      </c>
      <c r="L144" s="17"/>
      <c r="M144" s="17"/>
      <c r="N144" s="17"/>
      <c r="O144" s="17"/>
      <c r="P144" s="17"/>
      <c r="Q144" s="17"/>
      <c r="R144" s="17"/>
      <c r="S144" s="17"/>
      <c r="T144" s="6"/>
      <c r="U144" s="17"/>
      <c r="V144" s="6"/>
      <c r="W144" s="17"/>
      <c r="X144" s="17"/>
      <c r="Y144" s="17"/>
      <c r="Z144" s="17"/>
      <c r="AA144" s="17"/>
      <c r="AB144" s="17"/>
      <c r="AC144" s="6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6"/>
      <c r="BA144" s="17"/>
    </row>
    <row r="145" customFormat="false" ht="15" hidden="false" customHeight="false" outlineLevel="0" collapsed="false">
      <c r="A145" s="17" t="s">
        <v>354</v>
      </c>
      <c r="B145" s="34" t="s">
        <v>355</v>
      </c>
      <c r="C145" s="18" t="n">
        <f aca="false">emissions!B144</f>
        <v>0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6"/>
      <c r="U145" s="17"/>
      <c r="V145" s="6"/>
      <c r="W145" s="17"/>
      <c r="X145" s="17"/>
      <c r="Y145" s="17"/>
      <c r="Z145" s="17"/>
      <c r="AA145" s="17"/>
      <c r="AB145" s="17"/>
      <c r="AC145" s="6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6"/>
      <c r="BA145" s="17"/>
    </row>
    <row r="146" customFormat="false" ht="15" hidden="false" customHeight="false" outlineLevel="0" collapsed="false">
      <c r="A146" s="17" t="s">
        <v>356</v>
      </c>
      <c r="B146" s="17" t="s">
        <v>357</v>
      </c>
      <c r="C146" s="18" t="n">
        <f aca="false">emissions!B145</f>
        <v>0</v>
      </c>
      <c r="D146" s="17" t="n">
        <v>1</v>
      </c>
      <c r="E146" s="17" t="n">
        <v>1</v>
      </c>
      <c r="F146" s="17" t="n">
        <v>1</v>
      </c>
      <c r="G146" s="17"/>
      <c r="H146" s="17" t="n">
        <v>1</v>
      </c>
      <c r="I146" s="17" t="n">
        <v>1</v>
      </c>
      <c r="J146" s="17" t="n">
        <v>1</v>
      </c>
      <c r="K146" s="17" t="n">
        <v>1</v>
      </c>
      <c r="L146" s="17"/>
      <c r="M146" s="17" t="n">
        <v>1</v>
      </c>
      <c r="N146" s="17" t="n">
        <v>1</v>
      </c>
      <c r="O146" s="17" t="n">
        <v>1</v>
      </c>
      <c r="P146" s="17" t="n">
        <v>1</v>
      </c>
      <c r="Q146" s="17" t="n">
        <v>1</v>
      </c>
      <c r="R146" s="17" t="n">
        <v>1</v>
      </c>
      <c r="S146" s="17" t="n">
        <v>1</v>
      </c>
      <c r="T146" s="6" t="n">
        <v>1</v>
      </c>
      <c r="U146" s="17" t="n">
        <v>1</v>
      </c>
      <c r="V146" s="6" t="n">
        <v>1</v>
      </c>
      <c r="W146" s="17" t="n">
        <v>1</v>
      </c>
      <c r="X146" s="17" t="n">
        <v>1</v>
      </c>
      <c r="Y146" s="17" t="n">
        <v>1</v>
      </c>
      <c r="Z146" s="17" t="n">
        <v>1</v>
      </c>
      <c r="AA146" s="17" t="n">
        <v>1</v>
      </c>
      <c r="AB146" s="17" t="n">
        <v>1</v>
      </c>
      <c r="AC146" s="6" t="n">
        <v>1</v>
      </c>
      <c r="AD146" s="17" t="n">
        <v>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7" t="n">
        <v>1</v>
      </c>
      <c r="AK146" s="17" t="n">
        <v>1</v>
      </c>
      <c r="AL146" s="17" t="n">
        <v>1</v>
      </c>
      <c r="AM146" s="17" t="n">
        <v>1</v>
      </c>
      <c r="AN146" s="17" t="n">
        <v>1</v>
      </c>
      <c r="AO146" s="17" t="n">
        <v>1</v>
      </c>
      <c r="AP146" s="17" t="n">
        <v>1</v>
      </c>
      <c r="AQ146" s="17" t="n">
        <v>1</v>
      </c>
      <c r="AR146" s="17" t="n">
        <v>1</v>
      </c>
      <c r="AS146" s="17" t="n">
        <v>1</v>
      </c>
      <c r="AT146" s="17" t="n">
        <v>1</v>
      </c>
      <c r="AU146" s="17" t="n">
        <v>1</v>
      </c>
      <c r="AV146" s="17" t="n">
        <v>1</v>
      </c>
      <c r="AW146" s="17" t="n">
        <v>1</v>
      </c>
      <c r="AX146" s="17" t="n">
        <v>1</v>
      </c>
      <c r="AY146" s="17" t="n">
        <v>1</v>
      </c>
      <c r="AZ146" s="6" t="n">
        <v>1</v>
      </c>
      <c r="BA146" s="17" t="n">
        <v>1</v>
      </c>
    </row>
    <row r="147" customFormat="false" ht="15" hidden="false" customHeight="false" outlineLevel="0" collapsed="false">
      <c r="A147" s="17" t="s">
        <v>358</v>
      </c>
      <c r="B147" s="17" t="s">
        <v>359</v>
      </c>
      <c r="C147" s="18" t="n">
        <f aca="false">emissions!B146</f>
        <v>0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 t="n">
        <v>1</v>
      </c>
      <c r="O147" s="17"/>
      <c r="P147" s="17"/>
      <c r="Q147" s="17"/>
      <c r="R147" s="17"/>
      <c r="S147" s="17"/>
      <c r="T147" s="6"/>
      <c r="U147" s="17"/>
      <c r="V147" s="6"/>
      <c r="W147" s="17" t="n">
        <v>1</v>
      </c>
      <c r="X147" s="17"/>
      <c r="Y147" s="17" t="n">
        <v>1</v>
      </c>
      <c r="Z147" s="17"/>
      <c r="AA147" s="17"/>
      <c r="AB147" s="17"/>
      <c r="AC147" s="6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6"/>
      <c r="BA147" s="17"/>
    </row>
    <row r="148" customFormat="false" ht="15" hidden="false" customHeight="false" outlineLevel="0" collapsed="false">
      <c r="A148" s="17" t="s">
        <v>360</v>
      </c>
      <c r="B148" s="17" t="s">
        <v>361</v>
      </c>
      <c r="C148" s="18" t="n">
        <f aca="false">emissions!B147</f>
        <v>0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 t="n">
        <v>1</v>
      </c>
      <c r="O148" s="17"/>
      <c r="P148" s="17"/>
      <c r="Q148" s="17"/>
      <c r="R148" s="17"/>
      <c r="S148" s="17"/>
      <c r="T148" s="6"/>
      <c r="U148" s="17"/>
      <c r="V148" s="6"/>
      <c r="W148" s="17" t="n">
        <v>1</v>
      </c>
      <c r="X148" s="17"/>
      <c r="Y148" s="17" t="n">
        <v>1</v>
      </c>
      <c r="Z148" s="17"/>
      <c r="AA148" s="17"/>
      <c r="AB148" s="17"/>
      <c r="AC148" s="6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6"/>
      <c r="BA148" s="17"/>
    </row>
    <row r="149" customFormat="false" ht="15" hidden="false" customHeight="false" outlineLevel="0" collapsed="false">
      <c r="A149" s="17" t="s">
        <v>362</v>
      </c>
      <c r="B149" s="17" t="s">
        <v>363</v>
      </c>
      <c r="C149" s="18" t="n">
        <f aca="false">emissions!B148</f>
        <v>0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 t="n">
        <v>1</v>
      </c>
      <c r="O149" s="17"/>
      <c r="P149" s="17"/>
      <c r="Q149" s="17"/>
      <c r="R149" s="17"/>
      <c r="S149" s="17"/>
      <c r="T149" s="6"/>
      <c r="U149" s="17"/>
      <c r="V149" s="6"/>
      <c r="W149" s="17" t="n">
        <v>1</v>
      </c>
      <c r="X149" s="17"/>
      <c r="Y149" s="17" t="n">
        <v>1</v>
      </c>
      <c r="Z149" s="17"/>
      <c r="AA149" s="17"/>
      <c r="AB149" s="17"/>
      <c r="AC149" s="6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6"/>
      <c r="BA149" s="17"/>
    </row>
    <row r="150" customFormat="false" ht="15" hidden="false" customHeight="false" outlineLevel="0" collapsed="false">
      <c r="A150" s="17" t="s">
        <v>364</v>
      </c>
      <c r="B150" s="17" t="s">
        <v>365</v>
      </c>
      <c r="C150" s="18" t="n">
        <f aca="false">emissions!B149</f>
        <v>0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 t="n">
        <v>1</v>
      </c>
      <c r="O150" s="17"/>
      <c r="P150" s="17"/>
      <c r="Q150" s="17"/>
      <c r="R150" s="17"/>
      <c r="S150" s="17"/>
      <c r="T150" s="6"/>
      <c r="U150" s="17"/>
      <c r="V150" s="6"/>
      <c r="W150" s="17" t="n">
        <v>1</v>
      </c>
      <c r="X150" s="17"/>
      <c r="Y150" s="17" t="n">
        <v>1</v>
      </c>
      <c r="Z150" s="17"/>
      <c r="AA150" s="17"/>
      <c r="AB150" s="17"/>
      <c r="AC150" s="6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6"/>
      <c r="BA150" s="17"/>
    </row>
    <row r="151" customFormat="false" ht="15" hidden="false" customHeight="false" outlineLevel="0" collapsed="false">
      <c r="A151" s="17" t="s">
        <v>366</v>
      </c>
      <c r="B151" s="17" t="s">
        <v>367</v>
      </c>
      <c r="C151" s="18" t="n">
        <f aca="false">emissions!B150</f>
        <v>0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 t="n">
        <v>1</v>
      </c>
      <c r="O151" s="17"/>
      <c r="P151" s="17"/>
      <c r="Q151" s="17"/>
      <c r="R151" s="17"/>
      <c r="S151" s="17"/>
      <c r="T151" s="6"/>
      <c r="U151" s="17"/>
      <c r="V151" s="6"/>
      <c r="W151" s="17" t="n">
        <v>1</v>
      </c>
      <c r="X151" s="17"/>
      <c r="Y151" s="17" t="n">
        <v>1</v>
      </c>
      <c r="Z151" s="17"/>
      <c r="AA151" s="17"/>
      <c r="AB151" s="17"/>
      <c r="AC151" s="6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6"/>
      <c r="BA151" s="17"/>
    </row>
    <row r="152" customFormat="false" ht="15" hidden="false" customHeight="false" outlineLevel="0" collapsed="false">
      <c r="A152" s="17" t="s">
        <v>368</v>
      </c>
      <c r="B152" s="17" t="s">
        <v>369</v>
      </c>
      <c r="C152" s="18" t="n">
        <f aca="false">emissions!B151</f>
        <v>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 t="n">
        <v>1</v>
      </c>
      <c r="O152" s="17"/>
      <c r="P152" s="17"/>
      <c r="Q152" s="17"/>
      <c r="R152" s="17"/>
      <c r="S152" s="17"/>
      <c r="T152" s="6"/>
      <c r="U152" s="17"/>
      <c r="V152" s="6"/>
      <c r="W152" s="17" t="n">
        <v>1</v>
      </c>
      <c r="X152" s="17"/>
      <c r="Y152" s="17" t="n">
        <v>1</v>
      </c>
      <c r="Z152" s="17"/>
      <c r="AA152" s="17"/>
      <c r="AB152" s="17"/>
      <c r="AC152" s="6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6"/>
      <c r="BA152" s="17"/>
    </row>
    <row r="153" customFormat="false" ht="15" hidden="false" customHeight="false" outlineLevel="0" collapsed="false">
      <c r="A153" s="17" t="s">
        <v>370</v>
      </c>
      <c r="B153" s="19" t="s">
        <v>371</v>
      </c>
      <c r="C153" s="18" t="n">
        <f aca="false">emissions!B152</f>
        <v>0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6"/>
      <c r="U153" s="17"/>
      <c r="V153" s="6"/>
      <c r="W153" s="17"/>
      <c r="X153" s="17"/>
      <c r="Y153" s="17"/>
      <c r="Z153" s="17"/>
      <c r="AA153" s="17"/>
      <c r="AB153" s="17"/>
      <c r="AC153" s="6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6"/>
      <c r="BA153" s="17"/>
    </row>
    <row r="154" customFormat="false" ht="15" hidden="false" customHeight="false" outlineLevel="0" collapsed="false">
      <c r="A154" s="17" t="s">
        <v>372</v>
      </c>
      <c r="B154" s="32" t="s">
        <v>373</v>
      </c>
      <c r="C154" s="18" t="n">
        <f aca="false">emissions!B153</f>
        <v>0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6"/>
      <c r="U154" s="17"/>
      <c r="V154" s="6"/>
      <c r="W154" s="17"/>
      <c r="X154" s="17"/>
      <c r="Y154" s="17"/>
      <c r="Z154" s="17"/>
      <c r="AA154" s="17"/>
      <c r="AB154" s="17"/>
      <c r="AC154" s="6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6"/>
      <c r="BA154" s="17"/>
    </row>
    <row r="155" customFormat="false" ht="15" hidden="false" customHeight="false" outlineLevel="0" collapsed="false">
      <c r="A155" s="17" t="s">
        <v>374</v>
      </c>
      <c r="B155" s="17" t="s">
        <v>375</v>
      </c>
      <c r="C155" s="18" t="n">
        <f aca="false">emissions!B154</f>
        <v>0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 t="n">
        <v>1</v>
      </c>
      <c r="O155" s="17"/>
      <c r="P155" s="17"/>
      <c r="Q155" s="17"/>
      <c r="R155" s="17"/>
      <c r="S155" s="17"/>
      <c r="T155" s="6" t="n">
        <v>1</v>
      </c>
      <c r="U155" s="17"/>
      <c r="V155" s="6"/>
      <c r="W155" s="17"/>
      <c r="X155" s="17"/>
      <c r="Y155" s="17"/>
      <c r="Z155" s="17"/>
      <c r="AA155" s="17"/>
      <c r="AB155" s="17"/>
      <c r="AC155" s="6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6"/>
      <c r="BA155" s="17"/>
    </row>
    <row r="156" customFormat="false" ht="15" hidden="false" customHeight="false" outlineLevel="0" collapsed="false">
      <c r="A156" s="17" t="s">
        <v>376</v>
      </c>
      <c r="B156" s="17" t="s">
        <v>377</v>
      </c>
      <c r="C156" s="18" t="n">
        <f aca="false">emissions!B155</f>
        <v>0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6"/>
      <c r="U156" s="17"/>
      <c r="V156" s="6"/>
      <c r="W156" s="17"/>
      <c r="X156" s="17"/>
      <c r="Y156" s="17"/>
      <c r="Z156" s="17"/>
      <c r="AA156" s="17"/>
      <c r="AB156" s="17"/>
      <c r="AC156" s="6"/>
      <c r="AD156" s="17"/>
      <c r="AE156" s="17" t="n">
        <v>1</v>
      </c>
      <c r="AF156" s="17" t="n">
        <v>1</v>
      </c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6"/>
      <c r="BA156" s="17"/>
    </row>
    <row r="157" customFormat="false" ht="15" hidden="false" customHeight="false" outlineLevel="0" collapsed="false">
      <c r="A157" s="17" t="s">
        <v>378</v>
      </c>
      <c r="B157" s="17" t="s">
        <v>379</v>
      </c>
      <c r="C157" s="18" t="n">
        <f aca="false">emissions!B156</f>
        <v>0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6"/>
      <c r="U157" s="17"/>
      <c r="V157" s="6"/>
      <c r="W157" s="17"/>
      <c r="X157" s="17"/>
      <c r="Y157" s="17"/>
      <c r="Z157" s="17"/>
      <c r="AA157" s="17"/>
      <c r="AB157" s="17"/>
      <c r="AC157" s="6"/>
      <c r="AD157" s="17"/>
      <c r="AE157" s="17" t="n">
        <v>1</v>
      </c>
      <c r="AF157" s="17" t="n">
        <v>1</v>
      </c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6"/>
      <c r="BA157" s="17"/>
    </row>
    <row r="158" customFormat="false" ht="15" hidden="false" customHeight="false" outlineLevel="0" collapsed="false">
      <c r="A158" s="17" t="s">
        <v>380</v>
      </c>
      <c r="B158" s="17" t="s">
        <v>381</v>
      </c>
      <c r="C158" s="18" t="n">
        <f aca="false">emissions!B157</f>
        <v>0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 t="n">
        <v>1</v>
      </c>
      <c r="O158" s="17"/>
      <c r="P158" s="17"/>
      <c r="Q158" s="17"/>
      <c r="R158" s="17"/>
      <c r="S158" s="17"/>
      <c r="T158" s="6"/>
      <c r="U158" s="17" t="n">
        <v>1</v>
      </c>
      <c r="V158" s="6" t="n">
        <v>1</v>
      </c>
      <c r="W158" s="17"/>
      <c r="X158" s="17"/>
      <c r="Y158" s="17"/>
      <c r="Z158" s="17"/>
      <c r="AA158" s="17"/>
      <c r="AB158" s="17"/>
      <c r="AC158" s="6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6"/>
      <c r="BA158" s="17"/>
    </row>
  </sheetData>
  <conditionalFormatting sqref="C1:C1048576">
    <cfRule type="colorScale" priority="2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D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14.71"/>
    <col collapsed="false" customWidth="true" hidden="false" outlineLevel="0" max="16" min="3" style="1" width="16.84"/>
    <col collapsed="false" customWidth="true" hidden="false" outlineLevel="0" max="134" min="17" style="1" width="17.86"/>
    <col collapsed="false" customWidth="true" hidden="false" outlineLevel="0" max="135" min="135" style="1" width="14.71"/>
    <col collapsed="false" customWidth="true" hidden="false" outlineLevel="0" max="149" min="136" style="1" width="16.84"/>
    <col collapsed="false" customWidth="true" hidden="false" outlineLevel="0" max="316" min="150" style="1" width="17.86"/>
  </cols>
  <sheetData>
    <row r="1" customFormat="false" ht="15" hidden="false" customHeight="false" outlineLevel="0" collapsed="false">
      <c r="A1" s="35" t="s">
        <v>382</v>
      </c>
      <c r="B1" s="35" t="s">
        <v>383</v>
      </c>
      <c r="C1" s="35" t="s">
        <v>384</v>
      </c>
      <c r="D1" s="35" t="s">
        <v>385</v>
      </c>
      <c r="E1" s="35" t="s">
        <v>386</v>
      </c>
      <c r="F1" s="35" t="s">
        <v>387</v>
      </c>
      <c r="G1" s="35" t="s">
        <v>388</v>
      </c>
      <c r="H1" s="35" t="s">
        <v>389</v>
      </c>
      <c r="I1" s="35" t="s">
        <v>390</v>
      </c>
      <c r="J1" s="35" t="s">
        <v>391</v>
      </c>
      <c r="K1" s="35" t="s">
        <v>392</v>
      </c>
      <c r="L1" s="35" t="s">
        <v>393</v>
      </c>
      <c r="M1" s="35" t="s">
        <v>394</v>
      </c>
      <c r="N1" s="35" t="s">
        <v>395</v>
      </c>
      <c r="O1" s="35" t="s">
        <v>396</v>
      </c>
      <c r="P1" s="35" t="s">
        <v>397</v>
      </c>
      <c r="Q1" s="35" t="s">
        <v>398</v>
      </c>
      <c r="R1" s="35" t="s">
        <v>399</v>
      </c>
      <c r="S1" s="35" t="s">
        <v>400</v>
      </c>
      <c r="T1" s="35" t="s">
        <v>401</v>
      </c>
      <c r="U1" s="35" t="s">
        <v>402</v>
      </c>
      <c r="V1" s="35" t="s">
        <v>403</v>
      </c>
      <c r="W1" s="35" t="s">
        <v>404</v>
      </c>
      <c r="X1" s="35" t="s">
        <v>405</v>
      </c>
      <c r="Y1" s="35" t="s">
        <v>406</v>
      </c>
      <c r="Z1" s="35" t="s">
        <v>407</v>
      </c>
      <c r="AA1" s="35" t="s">
        <v>408</v>
      </c>
      <c r="AB1" s="35" t="s">
        <v>409</v>
      </c>
      <c r="AC1" s="35" t="s">
        <v>410</v>
      </c>
      <c r="AD1" s="35" t="s">
        <v>411</v>
      </c>
      <c r="AE1" s="35" t="s">
        <v>412</v>
      </c>
      <c r="AF1" s="35" t="s">
        <v>413</v>
      </c>
      <c r="AG1" s="35" t="s">
        <v>414</v>
      </c>
      <c r="AH1" s="35" t="s">
        <v>415</v>
      </c>
      <c r="AI1" s="35" t="s">
        <v>416</v>
      </c>
      <c r="AJ1" s="35" t="s">
        <v>417</v>
      </c>
      <c r="AK1" s="35" t="s">
        <v>418</v>
      </c>
      <c r="AL1" s="35" t="s">
        <v>419</v>
      </c>
      <c r="AM1" s="35" t="s">
        <v>420</v>
      </c>
      <c r="AN1" s="35" t="s">
        <v>421</v>
      </c>
      <c r="AO1" s="35" t="s">
        <v>422</v>
      </c>
      <c r="AP1" s="35" t="s">
        <v>423</v>
      </c>
      <c r="AQ1" s="35" t="s">
        <v>424</v>
      </c>
      <c r="AR1" s="35" t="s">
        <v>425</v>
      </c>
      <c r="AS1" s="35" t="s">
        <v>426</v>
      </c>
      <c r="AT1" s="35" t="s">
        <v>427</v>
      </c>
      <c r="AU1" s="35" t="s">
        <v>428</v>
      </c>
      <c r="AV1" s="35" t="s">
        <v>429</v>
      </c>
      <c r="AW1" s="35" t="s">
        <v>430</v>
      </c>
      <c r="AX1" s="35" t="s">
        <v>431</v>
      </c>
      <c r="AY1" s="35" t="s">
        <v>432</v>
      </c>
      <c r="AZ1" s="35" t="s">
        <v>433</v>
      </c>
      <c r="BA1" s="35" t="s">
        <v>434</v>
      </c>
      <c r="BB1" s="35" t="s">
        <v>435</v>
      </c>
      <c r="BC1" s="35" t="s">
        <v>436</v>
      </c>
      <c r="BD1" s="35" t="s">
        <v>437</v>
      </c>
      <c r="BE1" s="35" t="s">
        <v>438</v>
      </c>
      <c r="BF1" s="35" t="s">
        <v>439</v>
      </c>
      <c r="BG1" s="35" t="s">
        <v>440</v>
      </c>
      <c r="BH1" s="35" t="s">
        <v>441</v>
      </c>
      <c r="BI1" s="35" t="s">
        <v>442</v>
      </c>
      <c r="BJ1" s="35" t="s">
        <v>443</v>
      </c>
      <c r="BK1" s="35" t="s">
        <v>444</v>
      </c>
      <c r="BL1" s="35" t="s">
        <v>445</v>
      </c>
      <c r="BM1" s="35" t="s">
        <v>446</v>
      </c>
      <c r="BN1" s="35" t="s">
        <v>447</v>
      </c>
      <c r="BO1" s="35" t="s">
        <v>448</v>
      </c>
      <c r="BP1" s="35" t="s">
        <v>449</v>
      </c>
      <c r="BQ1" s="35" t="s">
        <v>450</v>
      </c>
      <c r="BR1" s="35" t="s">
        <v>451</v>
      </c>
      <c r="BS1" s="35" t="s">
        <v>452</v>
      </c>
      <c r="BT1" s="35" t="s">
        <v>453</v>
      </c>
      <c r="BU1" s="35" t="s">
        <v>454</v>
      </c>
      <c r="BV1" s="35" t="s">
        <v>455</v>
      </c>
      <c r="BW1" s="35" t="s">
        <v>456</v>
      </c>
      <c r="BX1" s="35" t="s">
        <v>457</v>
      </c>
      <c r="BY1" s="35" t="s">
        <v>458</v>
      </c>
      <c r="BZ1" s="35" t="s">
        <v>459</v>
      </c>
      <c r="CA1" s="35" t="s">
        <v>460</v>
      </c>
      <c r="CB1" s="35" t="s">
        <v>461</v>
      </c>
      <c r="CC1" s="35" t="s">
        <v>462</v>
      </c>
      <c r="CD1" s="35" t="s">
        <v>463</v>
      </c>
      <c r="CE1" s="35" t="s">
        <v>464</v>
      </c>
      <c r="CF1" s="35" t="s">
        <v>465</v>
      </c>
      <c r="CG1" s="35" t="s">
        <v>466</v>
      </c>
      <c r="CH1" s="35" t="s">
        <v>467</v>
      </c>
      <c r="CI1" s="35" t="s">
        <v>468</v>
      </c>
      <c r="CJ1" s="35" t="s">
        <v>469</v>
      </c>
      <c r="CK1" s="35" t="s">
        <v>470</v>
      </c>
      <c r="CL1" s="35" t="s">
        <v>471</v>
      </c>
      <c r="CM1" s="35" t="s">
        <v>472</v>
      </c>
      <c r="CN1" s="35" t="s">
        <v>473</v>
      </c>
      <c r="CO1" s="35" t="s">
        <v>474</v>
      </c>
      <c r="CP1" s="35" t="s">
        <v>475</v>
      </c>
      <c r="CQ1" s="35" t="s">
        <v>476</v>
      </c>
      <c r="CR1" s="35" t="s">
        <v>477</v>
      </c>
      <c r="CS1" s="35" t="s">
        <v>478</v>
      </c>
      <c r="CT1" s="35" t="s">
        <v>479</v>
      </c>
      <c r="CU1" s="35" t="s">
        <v>480</v>
      </c>
      <c r="CV1" s="35" t="s">
        <v>481</v>
      </c>
      <c r="CW1" s="35" t="s">
        <v>482</v>
      </c>
      <c r="CX1" s="35" t="s">
        <v>483</v>
      </c>
      <c r="CY1" s="35" t="s">
        <v>484</v>
      </c>
      <c r="CZ1" s="35" t="s">
        <v>485</v>
      </c>
      <c r="DA1" s="35" t="s">
        <v>486</v>
      </c>
      <c r="DB1" s="35" t="s">
        <v>487</v>
      </c>
      <c r="DC1" s="35" t="s">
        <v>488</v>
      </c>
      <c r="DD1" s="35" t="s">
        <v>489</v>
      </c>
      <c r="DE1" s="35" t="s">
        <v>490</v>
      </c>
      <c r="DF1" s="35" t="s">
        <v>491</v>
      </c>
      <c r="DG1" s="35" t="s">
        <v>492</v>
      </c>
      <c r="DH1" s="35" t="s">
        <v>493</v>
      </c>
      <c r="DI1" s="35" t="s">
        <v>494</v>
      </c>
      <c r="DJ1" s="35" t="s">
        <v>495</v>
      </c>
      <c r="DK1" s="35" t="s">
        <v>496</v>
      </c>
      <c r="DL1" s="35" t="s">
        <v>497</v>
      </c>
      <c r="DM1" s="35" t="s">
        <v>498</v>
      </c>
      <c r="DN1" s="35" t="s">
        <v>499</v>
      </c>
      <c r="DO1" s="35" t="s">
        <v>500</v>
      </c>
      <c r="DP1" s="35" t="s">
        <v>501</v>
      </c>
      <c r="DQ1" s="35" t="s">
        <v>502</v>
      </c>
      <c r="DR1" s="35" t="s">
        <v>503</v>
      </c>
      <c r="DS1" s="35" t="s">
        <v>504</v>
      </c>
      <c r="DT1" s="35" t="s">
        <v>505</v>
      </c>
      <c r="DU1" s="35" t="s">
        <v>506</v>
      </c>
      <c r="DV1" s="35" t="s">
        <v>507</v>
      </c>
      <c r="DW1" s="35" t="s">
        <v>508</v>
      </c>
      <c r="DX1" s="35" t="s">
        <v>509</v>
      </c>
      <c r="DY1" s="35" t="s">
        <v>510</v>
      </c>
      <c r="DZ1" s="35" t="s">
        <v>511</v>
      </c>
      <c r="EA1" s="35" t="s">
        <v>512</v>
      </c>
      <c r="EB1" s="35" t="s">
        <v>513</v>
      </c>
      <c r="EC1" s="35" t="s">
        <v>514</v>
      </c>
      <c r="ED1" s="35" t="s">
        <v>515</v>
      </c>
      <c r="EE1" s="35" t="s">
        <v>516</v>
      </c>
      <c r="EF1" s="35" t="s">
        <v>517</v>
      </c>
      <c r="EG1" s="35" t="s">
        <v>518</v>
      </c>
      <c r="EH1" s="35" t="s">
        <v>519</v>
      </c>
      <c r="EI1" s="35" t="s">
        <v>520</v>
      </c>
      <c r="EJ1" s="35" t="s">
        <v>521</v>
      </c>
      <c r="EK1" s="35" t="s">
        <v>522</v>
      </c>
      <c r="EL1" s="35" t="s">
        <v>523</v>
      </c>
      <c r="EM1" s="35" t="s">
        <v>524</v>
      </c>
      <c r="EN1" s="35" t="s">
        <v>525</v>
      </c>
      <c r="EO1" s="35" t="s">
        <v>526</v>
      </c>
      <c r="EP1" s="35" t="s">
        <v>527</v>
      </c>
      <c r="EQ1" s="35" t="s">
        <v>528</v>
      </c>
      <c r="ER1" s="35" t="s">
        <v>529</v>
      </c>
      <c r="ES1" s="35" t="s">
        <v>530</v>
      </c>
      <c r="ET1" s="35" t="s">
        <v>531</v>
      </c>
      <c r="EU1" s="35" t="s">
        <v>532</v>
      </c>
      <c r="EV1" s="35" t="s">
        <v>533</v>
      </c>
      <c r="EW1" s="35" t="s">
        <v>534</v>
      </c>
      <c r="EX1" s="35" t="s">
        <v>535</v>
      </c>
      <c r="EY1" s="35" t="s">
        <v>536</v>
      </c>
      <c r="EZ1" s="35" t="s">
        <v>537</v>
      </c>
      <c r="FA1" s="35" t="s">
        <v>538</v>
      </c>
      <c r="FB1" s="35" t="s">
        <v>539</v>
      </c>
      <c r="FC1" s="35" t="s">
        <v>540</v>
      </c>
      <c r="FD1" s="35" t="s">
        <v>541</v>
      </c>
      <c r="FE1" s="35" t="s">
        <v>542</v>
      </c>
      <c r="FF1" s="35" t="s">
        <v>543</v>
      </c>
      <c r="FG1" s="35" t="s">
        <v>544</v>
      </c>
      <c r="FH1" s="35" t="s">
        <v>545</v>
      </c>
      <c r="FI1" s="35" t="s">
        <v>546</v>
      </c>
      <c r="FJ1" s="35" t="s">
        <v>547</v>
      </c>
      <c r="FK1" s="35" t="s">
        <v>548</v>
      </c>
      <c r="FL1" s="35" t="s">
        <v>549</v>
      </c>
      <c r="FM1" s="35" t="s">
        <v>550</v>
      </c>
      <c r="FN1" s="35" t="s">
        <v>551</v>
      </c>
      <c r="FO1" s="35" t="s">
        <v>552</v>
      </c>
      <c r="FP1" s="35" t="s">
        <v>553</v>
      </c>
      <c r="FQ1" s="35" t="s">
        <v>554</v>
      </c>
      <c r="FR1" s="35" t="s">
        <v>555</v>
      </c>
      <c r="FS1" s="35" t="s">
        <v>556</v>
      </c>
      <c r="FT1" s="35" t="s">
        <v>557</v>
      </c>
      <c r="FU1" s="35" t="s">
        <v>558</v>
      </c>
      <c r="FV1" s="35" t="s">
        <v>559</v>
      </c>
      <c r="FW1" s="35" t="s">
        <v>560</v>
      </c>
      <c r="FX1" s="35" t="s">
        <v>561</v>
      </c>
      <c r="FY1" s="35" t="s">
        <v>562</v>
      </c>
      <c r="FZ1" s="35" t="s">
        <v>563</v>
      </c>
      <c r="GA1" s="35" t="s">
        <v>564</v>
      </c>
      <c r="GB1" s="35" t="s">
        <v>565</v>
      </c>
      <c r="GC1" s="35" t="s">
        <v>566</v>
      </c>
      <c r="GD1" s="35" t="s">
        <v>567</v>
      </c>
      <c r="GE1" s="35" t="s">
        <v>568</v>
      </c>
      <c r="GF1" s="35" t="s">
        <v>569</v>
      </c>
      <c r="GG1" s="35" t="s">
        <v>570</v>
      </c>
      <c r="GH1" s="35" t="s">
        <v>571</v>
      </c>
      <c r="GI1" s="35" t="s">
        <v>572</v>
      </c>
      <c r="GJ1" s="35" t="s">
        <v>573</v>
      </c>
      <c r="GK1" s="35" t="s">
        <v>574</v>
      </c>
      <c r="GL1" s="35" t="s">
        <v>575</v>
      </c>
      <c r="GM1" s="35" t="s">
        <v>576</v>
      </c>
      <c r="GN1" s="35" t="s">
        <v>577</v>
      </c>
      <c r="GO1" s="35" t="s">
        <v>578</v>
      </c>
      <c r="GP1" s="35" t="s">
        <v>579</v>
      </c>
      <c r="GQ1" s="35" t="s">
        <v>580</v>
      </c>
      <c r="GR1" s="35" t="s">
        <v>581</v>
      </c>
      <c r="GS1" s="35" t="s">
        <v>582</v>
      </c>
      <c r="GT1" s="35" t="s">
        <v>583</v>
      </c>
      <c r="GU1" s="35" t="s">
        <v>584</v>
      </c>
      <c r="GV1" s="35" t="s">
        <v>585</v>
      </c>
      <c r="GW1" s="35" t="s">
        <v>586</v>
      </c>
      <c r="GX1" s="35" t="s">
        <v>587</v>
      </c>
      <c r="GY1" s="35" t="s">
        <v>588</v>
      </c>
      <c r="GZ1" s="35" t="s">
        <v>589</v>
      </c>
      <c r="HA1" s="35" t="s">
        <v>590</v>
      </c>
      <c r="HB1" s="35" t="s">
        <v>591</v>
      </c>
      <c r="HC1" s="35" t="s">
        <v>592</v>
      </c>
      <c r="HD1" s="35" t="s">
        <v>593</v>
      </c>
      <c r="HE1" s="35" t="s">
        <v>594</v>
      </c>
      <c r="HF1" s="35" t="s">
        <v>595</v>
      </c>
      <c r="HG1" s="35" t="s">
        <v>596</v>
      </c>
      <c r="HH1" s="35" t="s">
        <v>597</v>
      </c>
      <c r="HI1" s="35" t="s">
        <v>598</v>
      </c>
      <c r="HJ1" s="35" t="s">
        <v>599</v>
      </c>
      <c r="HK1" s="35" t="s">
        <v>600</v>
      </c>
      <c r="HL1" s="35" t="s">
        <v>601</v>
      </c>
      <c r="HM1" s="35" t="s">
        <v>602</v>
      </c>
      <c r="HN1" s="35" t="s">
        <v>603</v>
      </c>
      <c r="HO1" s="35" t="s">
        <v>604</v>
      </c>
      <c r="HP1" s="35" t="s">
        <v>605</v>
      </c>
      <c r="HQ1" s="35" t="s">
        <v>606</v>
      </c>
      <c r="HR1" s="35" t="s">
        <v>607</v>
      </c>
      <c r="HS1" s="35" t="s">
        <v>608</v>
      </c>
      <c r="HT1" s="35" t="s">
        <v>609</v>
      </c>
      <c r="HU1" s="35" t="s">
        <v>610</v>
      </c>
      <c r="HV1" s="35" t="s">
        <v>611</v>
      </c>
      <c r="HW1" s="35" t="s">
        <v>612</v>
      </c>
      <c r="HX1" s="35" t="s">
        <v>613</v>
      </c>
      <c r="HY1" s="35" t="s">
        <v>614</v>
      </c>
      <c r="HZ1" s="35" t="s">
        <v>615</v>
      </c>
      <c r="IA1" s="35" t="s">
        <v>616</v>
      </c>
      <c r="IB1" s="35" t="s">
        <v>617</v>
      </c>
      <c r="IC1" s="35" t="s">
        <v>618</v>
      </c>
      <c r="ID1" s="35" t="s">
        <v>619</v>
      </c>
      <c r="IE1" s="35" t="s">
        <v>620</v>
      </c>
      <c r="IF1" s="35" t="s">
        <v>621</v>
      </c>
      <c r="IG1" s="35" t="s">
        <v>622</v>
      </c>
      <c r="IH1" s="35" t="s">
        <v>623</v>
      </c>
      <c r="II1" s="35" t="s">
        <v>624</v>
      </c>
      <c r="IJ1" s="35" t="s">
        <v>625</v>
      </c>
      <c r="IK1" s="35" t="s">
        <v>626</v>
      </c>
      <c r="IL1" s="35" t="s">
        <v>627</v>
      </c>
      <c r="IM1" s="35" t="s">
        <v>628</v>
      </c>
      <c r="IN1" s="35" t="s">
        <v>629</v>
      </c>
      <c r="IO1" s="35" t="s">
        <v>630</v>
      </c>
      <c r="IP1" s="35" t="s">
        <v>631</v>
      </c>
      <c r="IQ1" s="35" t="s">
        <v>632</v>
      </c>
      <c r="IR1" s="35" t="s">
        <v>633</v>
      </c>
      <c r="IS1" s="35" t="s">
        <v>634</v>
      </c>
      <c r="IT1" s="35" t="s">
        <v>635</v>
      </c>
      <c r="IU1" s="35" t="s">
        <v>636</v>
      </c>
      <c r="IV1" s="35" t="s">
        <v>637</v>
      </c>
      <c r="IW1" s="35" t="s">
        <v>638</v>
      </c>
      <c r="IX1" s="35" t="s">
        <v>639</v>
      </c>
      <c r="IY1" s="35" t="s">
        <v>640</v>
      </c>
      <c r="IZ1" s="35" t="s">
        <v>641</v>
      </c>
      <c r="JA1" s="35" t="s">
        <v>642</v>
      </c>
      <c r="JB1" s="35" t="s">
        <v>643</v>
      </c>
      <c r="JC1" s="35" t="s">
        <v>644</v>
      </c>
      <c r="JD1" s="35" t="s">
        <v>645</v>
      </c>
      <c r="JE1" s="35" t="s">
        <v>646</v>
      </c>
      <c r="JF1" s="35" t="s">
        <v>647</v>
      </c>
      <c r="JG1" s="35" t="s">
        <v>648</v>
      </c>
      <c r="JH1" s="35" t="s">
        <v>649</v>
      </c>
      <c r="JI1" s="35" t="s">
        <v>650</v>
      </c>
      <c r="JJ1" s="35" t="s">
        <v>651</v>
      </c>
      <c r="JK1" s="35" t="s">
        <v>652</v>
      </c>
      <c r="JL1" s="35" t="s">
        <v>653</v>
      </c>
      <c r="JM1" s="35" t="s">
        <v>654</v>
      </c>
      <c r="JN1" s="35" t="s">
        <v>655</v>
      </c>
      <c r="JO1" s="35" t="s">
        <v>656</v>
      </c>
      <c r="JP1" s="35" t="s">
        <v>657</v>
      </c>
      <c r="JQ1" s="35" t="s">
        <v>658</v>
      </c>
      <c r="JR1" s="35" t="s">
        <v>659</v>
      </c>
      <c r="JS1" s="35" t="s">
        <v>660</v>
      </c>
      <c r="JT1" s="35" t="s">
        <v>661</v>
      </c>
      <c r="JU1" s="35" t="s">
        <v>662</v>
      </c>
      <c r="JV1" s="35" t="s">
        <v>663</v>
      </c>
      <c r="JW1" s="35" t="s">
        <v>664</v>
      </c>
      <c r="JX1" s="35" t="s">
        <v>665</v>
      </c>
      <c r="JY1" s="35" t="s">
        <v>666</v>
      </c>
      <c r="JZ1" s="35" t="s">
        <v>667</v>
      </c>
      <c r="KA1" s="35" t="s">
        <v>668</v>
      </c>
      <c r="KB1" s="35" t="s">
        <v>669</v>
      </c>
      <c r="KC1" s="35" t="s">
        <v>670</v>
      </c>
      <c r="KD1" s="35" t="s">
        <v>671</v>
      </c>
      <c r="KE1" s="35" t="s">
        <v>672</v>
      </c>
      <c r="KF1" s="35" t="s">
        <v>673</v>
      </c>
      <c r="KG1" s="35" t="s">
        <v>674</v>
      </c>
      <c r="KH1" s="35" t="s">
        <v>675</v>
      </c>
      <c r="KI1" s="35" t="s">
        <v>676</v>
      </c>
      <c r="KJ1" s="35" t="s">
        <v>677</v>
      </c>
      <c r="KK1" s="35" t="s">
        <v>678</v>
      </c>
      <c r="KL1" s="35" t="s">
        <v>679</v>
      </c>
      <c r="KM1" s="35" t="s">
        <v>680</v>
      </c>
      <c r="KN1" s="35" t="s">
        <v>681</v>
      </c>
      <c r="KO1" s="35" t="s">
        <v>682</v>
      </c>
      <c r="KP1" s="35" t="s">
        <v>683</v>
      </c>
      <c r="KQ1" s="35" t="s">
        <v>684</v>
      </c>
      <c r="KR1" s="35" t="s">
        <v>685</v>
      </c>
      <c r="KS1" s="35" t="s">
        <v>686</v>
      </c>
      <c r="KT1" s="35" t="s">
        <v>687</v>
      </c>
      <c r="KU1" s="35" t="s">
        <v>688</v>
      </c>
      <c r="KV1" s="35" t="s">
        <v>689</v>
      </c>
      <c r="KW1" s="35" t="s">
        <v>690</v>
      </c>
      <c r="KX1" s="35" t="s">
        <v>691</v>
      </c>
      <c r="KY1" s="35" t="s">
        <v>692</v>
      </c>
      <c r="KZ1" s="35" t="s">
        <v>693</v>
      </c>
      <c r="LA1" s="35" t="s">
        <v>694</v>
      </c>
      <c r="LB1" s="35" t="s">
        <v>695</v>
      </c>
      <c r="LC1" s="35" t="s">
        <v>696</v>
      </c>
      <c r="LD1" s="35" t="s">
        <v>697</v>
      </c>
    </row>
    <row r="2" customFormat="false" ht="15" hidden="false" customHeight="false" outlineLevel="0" collapsed="false">
      <c r="A2" s="35" t="s">
        <v>70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</row>
    <row r="3" customFormat="false" ht="15" hidden="false" customHeight="false" outlineLevel="0" collapsed="false">
      <c r="A3" s="35" t="s">
        <v>72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</row>
    <row r="4" customFormat="false" ht="15" hidden="false" customHeight="false" outlineLevel="0" collapsed="false">
      <c r="A4" s="35" t="s">
        <v>74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</row>
    <row r="5" customFormat="false" ht="15" hidden="false" customHeight="false" outlineLevel="0" collapsed="false">
      <c r="A5" s="35" t="s">
        <v>76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</row>
    <row r="6" customFormat="false" ht="15" hidden="false" customHeight="false" outlineLevel="0" collapsed="false">
      <c r="A6" s="35" t="s">
        <v>78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</row>
    <row r="7" customFormat="false" ht="15" hidden="false" customHeight="false" outlineLevel="0" collapsed="false">
      <c r="A7" s="35" t="s">
        <v>80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</row>
    <row r="8" customFormat="false" ht="15" hidden="false" customHeight="false" outlineLevel="0" collapsed="false">
      <c r="A8" s="35" t="s">
        <v>82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</row>
    <row r="9" customFormat="false" ht="15" hidden="false" customHeight="false" outlineLevel="0" collapsed="false">
      <c r="A9" s="35" t="s">
        <v>84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</row>
    <row r="10" customFormat="false" ht="15" hidden="false" customHeight="false" outlineLevel="0" collapsed="false">
      <c r="A10" s="35" t="s">
        <v>86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</row>
    <row r="11" customFormat="false" ht="15" hidden="false" customHeight="false" outlineLevel="0" collapsed="false">
      <c r="A11" s="35" t="s">
        <v>88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</row>
    <row r="12" customFormat="false" ht="15" hidden="false" customHeight="false" outlineLevel="0" collapsed="false">
      <c r="A12" s="35" t="s">
        <v>90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</row>
    <row r="13" customFormat="false" ht="15" hidden="false" customHeight="false" outlineLevel="0" collapsed="false">
      <c r="A13" s="35" t="s">
        <v>92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</row>
    <row r="14" customFormat="false" ht="15" hidden="false" customHeight="false" outlineLevel="0" collapsed="false">
      <c r="A14" s="35" t="s">
        <v>94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</row>
    <row r="15" customFormat="false" ht="15" hidden="false" customHeight="false" outlineLevel="0" collapsed="false">
      <c r="A15" s="35" t="s">
        <v>96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</row>
    <row r="16" customFormat="false" ht="15" hidden="false" customHeight="false" outlineLevel="0" collapsed="false">
      <c r="A16" s="35" t="s">
        <v>98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</row>
    <row r="17" customFormat="false" ht="15" hidden="false" customHeight="false" outlineLevel="0" collapsed="false">
      <c r="A17" s="35" t="s">
        <v>100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</row>
    <row r="18" customFormat="false" ht="15" hidden="false" customHeight="false" outlineLevel="0" collapsed="false">
      <c r="A18" s="35" t="s">
        <v>102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</row>
    <row r="19" customFormat="false" ht="15" hidden="false" customHeight="false" outlineLevel="0" collapsed="false">
      <c r="A19" s="35" t="s">
        <v>104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</row>
    <row r="20" customFormat="false" ht="15" hidden="false" customHeight="false" outlineLevel="0" collapsed="false">
      <c r="A20" s="35" t="s">
        <v>106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</row>
    <row r="21" customFormat="false" ht="15" hidden="false" customHeight="false" outlineLevel="0" collapsed="false">
      <c r="A21" s="35" t="s">
        <v>108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</row>
    <row r="22" customFormat="false" ht="15" hidden="false" customHeight="false" outlineLevel="0" collapsed="false">
      <c r="A22" s="35" t="s">
        <v>110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</row>
    <row r="23" customFormat="false" ht="15" hidden="false" customHeight="false" outlineLevel="0" collapsed="false">
      <c r="A23" s="35" t="s">
        <v>112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</row>
    <row r="24" customFormat="false" ht="15" hidden="false" customHeight="false" outlineLevel="0" collapsed="false">
      <c r="A24" s="35" t="s">
        <v>114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</row>
    <row r="25" customFormat="false" ht="15" hidden="false" customHeight="false" outlineLevel="0" collapsed="false">
      <c r="A25" s="35" t="s">
        <v>116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</row>
    <row r="26" customFormat="false" ht="15" hidden="false" customHeight="false" outlineLevel="0" collapsed="false">
      <c r="A26" s="35" t="s">
        <v>118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</row>
    <row r="27" customFormat="false" ht="15" hidden="false" customHeight="false" outlineLevel="0" collapsed="false">
      <c r="A27" s="35" t="s">
        <v>120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</row>
    <row r="28" customFormat="false" ht="15" hidden="false" customHeight="false" outlineLevel="0" collapsed="false">
      <c r="A28" s="35" t="s">
        <v>122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</row>
    <row r="29" customFormat="false" ht="15" hidden="false" customHeight="false" outlineLevel="0" collapsed="false">
      <c r="A29" s="35" t="s">
        <v>124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</row>
    <row r="30" customFormat="false" ht="15" hidden="false" customHeight="false" outlineLevel="0" collapsed="false">
      <c r="A30" s="35" t="s">
        <v>126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</row>
    <row r="31" customFormat="false" ht="15" hidden="false" customHeight="false" outlineLevel="0" collapsed="false">
      <c r="A31" s="35" t="s">
        <v>128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</row>
    <row r="32" customFormat="false" ht="15" hidden="false" customHeight="false" outlineLevel="0" collapsed="false">
      <c r="A32" s="35" t="s">
        <v>130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</row>
    <row r="33" customFormat="false" ht="15" hidden="false" customHeight="false" outlineLevel="0" collapsed="false">
      <c r="A33" s="35" t="s">
        <v>132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5"/>
      <c r="HE33" s="35"/>
      <c r="HF33" s="35"/>
      <c r="HG33" s="35"/>
      <c r="HH33" s="35"/>
      <c r="HI33" s="35"/>
      <c r="HJ33" s="35"/>
      <c r="HK33" s="35"/>
      <c r="HL33" s="35"/>
      <c r="HM33" s="35"/>
      <c r="HN33" s="35"/>
      <c r="HO33" s="35"/>
      <c r="HP33" s="35"/>
      <c r="HQ33" s="35"/>
      <c r="HR33" s="35"/>
      <c r="HS33" s="35"/>
      <c r="HT33" s="35"/>
      <c r="HU33" s="35"/>
      <c r="HV33" s="35"/>
      <c r="HW33" s="35"/>
      <c r="HX33" s="35"/>
      <c r="HY33" s="35"/>
      <c r="HZ33" s="35"/>
      <c r="IA33" s="35"/>
      <c r="IB33" s="35"/>
      <c r="IC33" s="35"/>
      <c r="ID33" s="35"/>
      <c r="IE33" s="35"/>
      <c r="IF33" s="35"/>
      <c r="IG33" s="35"/>
      <c r="IH33" s="35"/>
      <c r="II33" s="35"/>
      <c r="IJ33" s="35"/>
      <c r="IK33" s="35"/>
      <c r="IL33" s="35"/>
      <c r="IM33" s="35"/>
      <c r="IN33" s="35"/>
      <c r="IO33" s="35"/>
      <c r="IP33" s="35"/>
      <c r="IQ33" s="35"/>
      <c r="IR33" s="35"/>
      <c r="IS33" s="35"/>
      <c r="IT33" s="35"/>
      <c r="IU33" s="35"/>
      <c r="IV33" s="35"/>
      <c r="IW33" s="35"/>
      <c r="IX33" s="35"/>
      <c r="IY33" s="35"/>
      <c r="IZ33" s="35"/>
      <c r="JA33" s="35"/>
      <c r="JB33" s="35"/>
      <c r="JC33" s="35"/>
      <c r="JD33" s="35"/>
      <c r="JE33" s="35"/>
      <c r="JF33" s="35"/>
      <c r="JG33" s="35"/>
      <c r="JH33" s="35"/>
      <c r="JI33" s="35"/>
      <c r="JJ33" s="35"/>
      <c r="JK33" s="35"/>
      <c r="JL33" s="35"/>
      <c r="JM33" s="35"/>
      <c r="JN33" s="35"/>
      <c r="JO33" s="35"/>
      <c r="JP33" s="35"/>
      <c r="JQ33" s="35"/>
      <c r="JR33" s="35"/>
      <c r="JS33" s="35"/>
      <c r="JT33" s="35"/>
      <c r="JU33" s="35"/>
      <c r="JV33" s="35"/>
      <c r="JW33" s="35"/>
      <c r="JX33" s="35"/>
      <c r="JY33" s="35"/>
      <c r="JZ33" s="35"/>
      <c r="KA33" s="35"/>
      <c r="KB33" s="35"/>
      <c r="KC33" s="35"/>
      <c r="KD33" s="35"/>
      <c r="KE33" s="35"/>
      <c r="KF33" s="35"/>
      <c r="KG33" s="35"/>
      <c r="KH33" s="35"/>
      <c r="KI33" s="35"/>
      <c r="KJ33" s="35"/>
      <c r="KK33" s="35"/>
      <c r="KL33" s="35"/>
      <c r="KM33" s="35"/>
      <c r="KN33" s="35"/>
      <c r="KO33" s="35"/>
      <c r="KP33" s="35"/>
      <c r="KQ33" s="35"/>
      <c r="KR33" s="35"/>
      <c r="KS33" s="35"/>
      <c r="KT33" s="35"/>
      <c r="KU33" s="35"/>
      <c r="KV33" s="35"/>
      <c r="KW33" s="35"/>
      <c r="KX33" s="35"/>
      <c r="KY33" s="35"/>
      <c r="KZ33" s="35"/>
      <c r="LA33" s="35"/>
      <c r="LB33" s="35"/>
      <c r="LC33" s="35"/>
      <c r="LD33" s="35"/>
    </row>
    <row r="34" customFormat="false" ht="15" hidden="false" customHeight="false" outlineLevel="0" collapsed="false">
      <c r="A34" s="35" t="s">
        <v>134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5"/>
      <c r="HE34" s="35"/>
      <c r="HF34" s="35"/>
      <c r="HG34" s="35"/>
      <c r="HH34" s="35"/>
      <c r="HI34" s="35"/>
      <c r="HJ34" s="35"/>
      <c r="HK34" s="35"/>
      <c r="HL34" s="35"/>
      <c r="HM34" s="35"/>
      <c r="HN34" s="35"/>
      <c r="HO34" s="35"/>
      <c r="HP34" s="35"/>
      <c r="HQ34" s="35"/>
      <c r="HR34" s="35"/>
      <c r="HS34" s="35"/>
      <c r="HT34" s="35"/>
      <c r="HU34" s="35"/>
      <c r="HV34" s="35"/>
      <c r="HW34" s="35"/>
      <c r="HX34" s="35"/>
      <c r="HY34" s="35"/>
      <c r="HZ34" s="35"/>
      <c r="IA34" s="35"/>
      <c r="IB34" s="35"/>
      <c r="IC34" s="35"/>
      <c r="ID34" s="35"/>
      <c r="IE34" s="35"/>
      <c r="IF34" s="35"/>
      <c r="IG34" s="35"/>
      <c r="IH34" s="35"/>
      <c r="II34" s="35"/>
      <c r="IJ34" s="35"/>
      <c r="IK34" s="35"/>
      <c r="IL34" s="35"/>
      <c r="IM34" s="35"/>
      <c r="IN34" s="35"/>
      <c r="IO34" s="35"/>
      <c r="IP34" s="35"/>
      <c r="IQ34" s="35"/>
      <c r="IR34" s="35"/>
      <c r="IS34" s="35"/>
      <c r="IT34" s="35"/>
      <c r="IU34" s="35"/>
      <c r="IV34" s="35"/>
      <c r="IW34" s="35"/>
      <c r="IX34" s="35"/>
      <c r="IY34" s="35"/>
      <c r="IZ34" s="35"/>
      <c r="JA34" s="35"/>
      <c r="JB34" s="35"/>
      <c r="JC34" s="35"/>
      <c r="JD34" s="35"/>
      <c r="JE34" s="35"/>
      <c r="JF34" s="35"/>
      <c r="JG34" s="35"/>
      <c r="JH34" s="35"/>
      <c r="JI34" s="35"/>
      <c r="JJ34" s="35"/>
      <c r="JK34" s="35"/>
      <c r="JL34" s="35"/>
      <c r="JM34" s="35"/>
      <c r="JN34" s="35"/>
      <c r="JO34" s="35"/>
      <c r="JP34" s="35"/>
      <c r="JQ34" s="35"/>
      <c r="JR34" s="35"/>
      <c r="JS34" s="35"/>
      <c r="JT34" s="35"/>
      <c r="JU34" s="35"/>
      <c r="JV34" s="35"/>
      <c r="JW34" s="35"/>
      <c r="JX34" s="35"/>
      <c r="JY34" s="35"/>
      <c r="JZ34" s="35"/>
      <c r="KA34" s="35"/>
      <c r="KB34" s="35"/>
      <c r="KC34" s="35"/>
      <c r="KD34" s="35"/>
      <c r="KE34" s="35"/>
      <c r="KF34" s="35"/>
      <c r="KG34" s="35"/>
      <c r="KH34" s="35"/>
      <c r="KI34" s="35"/>
      <c r="KJ34" s="35"/>
      <c r="KK34" s="35"/>
      <c r="KL34" s="35"/>
      <c r="KM34" s="35"/>
      <c r="KN34" s="35"/>
      <c r="KO34" s="35"/>
      <c r="KP34" s="35"/>
      <c r="KQ34" s="35"/>
      <c r="KR34" s="35"/>
      <c r="KS34" s="35"/>
      <c r="KT34" s="35"/>
      <c r="KU34" s="35"/>
      <c r="KV34" s="35"/>
      <c r="KW34" s="35"/>
      <c r="KX34" s="35"/>
      <c r="KY34" s="35"/>
      <c r="KZ34" s="35"/>
      <c r="LA34" s="35"/>
      <c r="LB34" s="35"/>
      <c r="LC34" s="35"/>
      <c r="LD34" s="35"/>
    </row>
    <row r="35" customFormat="false" ht="15" hidden="false" customHeight="false" outlineLevel="0" collapsed="false">
      <c r="A35" s="35" t="s">
        <v>136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5"/>
      <c r="HE35" s="35"/>
      <c r="HF35" s="35"/>
      <c r="HG35" s="35"/>
      <c r="HH35" s="35"/>
      <c r="HI35" s="35"/>
      <c r="HJ35" s="35"/>
      <c r="HK35" s="35"/>
      <c r="HL35" s="35"/>
      <c r="HM35" s="35"/>
      <c r="HN35" s="35"/>
      <c r="HO35" s="35"/>
      <c r="HP35" s="35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</row>
    <row r="36" customFormat="false" ht="15" hidden="false" customHeight="false" outlineLevel="0" collapsed="false">
      <c r="A36" s="35" t="s">
        <v>138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5"/>
      <c r="HE36" s="35"/>
      <c r="HF36" s="35"/>
      <c r="HG36" s="35"/>
      <c r="HH36" s="35"/>
      <c r="HI36" s="35"/>
      <c r="HJ36" s="35"/>
      <c r="HK36" s="35"/>
      <c r="HL36" s="35"/>
      <c r="HM36" s="35"/>
      <c r="HN36" s="35"/>
      <c r="HO36" s="35"/>
      <c r="HP36" s="35"/>
      <c r="HQ36" s="35"/>
      <c r="HR36" s="35"/>
      <c r="HS36" s="35"/>
      <c r="HT36" s="35"/>
      <c r="HU36" s="35"/>
      <c r="HV36" s="35"/>
      <c r="HW36" s="35"/>
      <c r="HX36" s="35"/>
      <c r="HY36" s="35"/>
      <c r="HZ36" s="35"/>
      <c r="IA36" s="35"/>
      <c r="IB36" s="35"/>
      <c r="IC36" s="35"/>
      <c r="ID36" s="35"/>
      <c r="IE36" s="35"/>
      <c r="IF36" s="35"/>
      <c r="IG36" s="35"/>
      <c r="IH36" s="35"/>
      <c r="II36" s="35"/>
      <c r="IJ36" s="35"/>
      <c r="IK36" s="35"/>
      <c r="IL36" s="35"/>
      <c r="IM36" s="35"/>
      <c r="IN36" s="35"/>
      <c r="IO36" s="35"/>
      <c r="IP36" s="35"/>
      <c r="IQ36" s="35"/>
      <c r="IR36" s="35"/>
      <c r="IS36" s="35"/>
      <c r="IT36" s="35"/>
      <c r="IU36" s="35"/>
      <c r="IV36" s="35"/>
      <c r="IW36" s="35"/>
      <c r="IX36" s="35"/>
      <c r="IY36" s="35"/>
      <c r="IZ36" s="35"/>
      <c r="JA36" s="35"/>
      <c r="JB36" s="35"/>
      <c r="JC36" s="35"/>
      <c r="JD36" s="35"/>
      <c r="JE36" s="35"/>
      <c r="JF36" s="35"/>
      <c r="JG36" s="35"/>
      <c r="JH36" s="35"/>
      <c r="JI36" s="35"/>
      <c r="JJ36" s="35"/>
      <c r="JK36" s="35"/>
      <c r="JL36" s="35"/>
      <c r="JM36" s="35"/>
      <c r="JN36" s="35"/>
      <c r="JO36" s="35"/>
      <c r="JP36" s="35"/>
      <c r="JQ36" s="35"/>
      <c r="JR36" s="35"/>
      <c r="JS36" s="35"/>
      <c r="JT36" s="35"/>
      <c r="JU36" s="35"/>
      <c r="JV36" s="35"/>
      <c r="JW36" s="35"/>
      <c r="JX36" s="35"/>
      <c r="JY36" s="35"/>
      <c r="JZ36" s="35"/>
      <c r="KA36" s="35"/>
      <c r="KB36" s="35"/>
      <c r="KC36" s="35"/>
      <c r="KD36" s="35"/>
      <c r="KE36" s="35"/>
      <c r="KF36" s="35"/>
      <c r="KG36" s="35"/>
      <c r="KH36" s="35"/>
      <c r="KI36" s="35"/>
      <c r="KJ36" s="35"/>
      <c r="KK36" s="35"/>
      <c r="KL36" s="35"/>
      <c r="KM36" s="35"/>
      <c r="KN36" s="35"/>
      <c r="KO36" s="35"/>
      <c r="KP36" s="35"/>
      <c r="KQ36" s="35"/>
      <c r="KR36" s="35"/>
      <c r="KS36" s="35"/>
      <c r="KT36" s="35"/>
      <c r="KU36" s="35"/>
      <c r="KV36" s="35"/>
      <c r="KW36" s="35"/>
      <c r="KX36" s="35"/>
      <c r="KY36" s="35"/>
      <c r="KZ36" s="35"/>
      <c r="LA36" s="35"/>
      <c r="LB36" s="35"/>
      <c r="LC36" s="35"/>
      <c r="LD36" s="35"/>
    </row>
    <row r="37" customFormat="false" ht="15" hidden="false" customHeight="false" outlineLevel="0" collapsed="false">
      <c r="A37" s="35" t="s">
        <v>140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5"/>
      <c r="HE37" s="35"/>
      <c r="HF37" s="35"/>
      <c r="HG37" s="35"/>
      <c r="HH37" s="35"/>
      <c r="HI37" s="35"/>
      <c r="HJ37" s="35"/>
      <c r="HK37" s="35"/>
      <c r="HL37" s="35"/>
      <c r="HM37" s="35"/>
      <c r="HN37" s="35"/>
      <c r="HO37" s="35"/>
      <c r="HP37" s="35"/>
      <c r="HQ37" s="35"/>
      <c r="HR37" s="35"/>
      <c r="HS37" s="35"/>
      <c r="HT37" s="35"/>
      <c r="HU37" s="35"/>
      <c r="HV37" s="35"/>
      <c r="HW37" s="35"/>
      <c r="HX37" s="35"/>
      <c r="HY37" s="35"/>
      <c r="HZ37" s="35"/>
      <c r="IA37" s="35"/>
      <c r="IB37" s="35"/>
      <c r="IC37" s="35"/>
      <c r="ID37" s="35"/>
      <c r="IE37" s="35"/>
      <c r="IF37" s="35"/>
      <c r="IG37" s="35"/>
      <c r="IH37" s="35"/>
      <c r="II37" s="35"/>
      <c r="IJ37" s="35"/>
      <c r="IK37" s="35"/>
      <c r="IL37" s="35"/>
      <c r="IM37" s="35"/>
      <c r="IN37" s="35"/>
      <c r="IO37" s="35"/>
      <c r="IP37" s="35"/>
      <c r="IQ37" s="35"/>
      <c r="IR37" s="35"/>
      <c r="IS37" s="35"/>
      <c r="IT37" s="35"/>
      <c r="IU37" s="35"/>
      <c r="IV37" s="35"/>
      <c r="IW37" s="35"/>
      <c r="IX37" s="35"/>
      <c r="IY37" s="35"/>
      <c r="IZ37" s="35"/>
      <c r="JA37" s="35"/>
      <c r="JB37" s="35"/>
      <c r="JC37" s="35"/>
      <c r="JD37" s="35"/>
      <c r="JE37" s="35"/>
      <c r="JF37" s="35"/>
      <c r="JG37" s="35"/>
      <c r="JH37" s="35"/>
      <c r="JI37" s="35"/>
      <c r="JJ37" s="35"/>
      <c r="JK37" s="35"/>
      <c r="JL37" s="35"/>
      <c r="JM37" s="35"/>
      <c r="JN37" s="35"/>
      <c r="JO37" s="35"/>
      <c r="JP37" s="35"/>
      <c r="JQ37" s="35"/>
      <c r="JR37" s="35"/>
      <c r="JS37" s="35"/>
      <c r="JT37" s="35"/>
      <c r="JU37" s="35"/>
      <c r="JV37" s="35"/>
      <c r="JW37" s="35"/>
      <c r="JX37" s="35"/>
      <c r="JY37" s="35"/>
      <c r="JZ37" s="35"/>
      <c r="KA37" s="35"/>
      <c r="KB37" s="35"/>
      <c r="KC37" s="35"/>
      <c r="KD37" s="35"/>
      <c r="KE37" s="35"/>
      <c r="KF37" s="35"/>
      <c r="KG37" s="35"/>
      <c r="KH37" s="35"/>
      <c r="KI37" s="35"/>
      <c r="KJ37" s="35"/>
      <c r="KK37" s="35"/>
      <c r="KL37" s="35"/>
      <c r="KM37" s="35"/>
      <c r="KN37" s="35"/>
      <c r="KO37" s="35"/>
      <c r="KP37" s="35"/>
      <c r="KQ37" s="35"/>
      <c r="KR37" s="35"/>
      <c r="KS37" s="35"/>
      <c r="KT37" s="35"/>
      <c r="KU37" s="35"/>
      <c r="KV37" s="35"/>
      <c r="KW37" s="35"/>
      <c r="KX37" s="35"/>
      <c r="KY37" s="35"/>
      <c r="KZ37" s="35"/>
      <c r="LA37" s="35"/>
      <c r="LB37" s="35"/>
      <c r="LC37" s="35"/>
      <c r="LD37" s="35"/>
    </row>
    <row r="38" customFormat="false" ht="15" hidden="false" customHeight="false" outlineLevel="0" collapsed="false">
      <c r="A38" s="35" t="s">
        <v>142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F38" s="35"/>
      <c r="HG38" s="35"/>
      <c r="HH38" s="35"/>
      <c r="HI38" s="35"/>
      <c r="HJ38" s="35"/>
      <c r="HK38" s="35"/>
      <c r="HL38" s="35"/>
      <c r="HM38" s="35"/>
      <c r="HN38" s="35"/>
      <c r="HO38" s="35"/>
      <c r="HP38" s="35"/>
      <c r="HQ38" s="35"/>
      <c r="HR38" s="35"/>
      <c r="HS38" s="35"/>
      <c r="HT38" s="35"/>
      <c r="HU38" s="35"/>
      <c r="HV38" s="35"/>
      <c r="HW38" s="35"/>
      <c r="HX38" s="35"/>
      <c r="HY38" s="35"/>
      <c r="HZ38" s="35"/>
      <c r="IA38" s="35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M38" s="35"/>
      <c r="IN38" s="35"/>
      <c r="IO38" s="35"/>
      <c r="IP38" s="35"/>
      <c r="IQ38" s="35"/>
      <c r="IR38" s="35"/>
      <c r="IS38" s="35"/>
      <c r="IT38" s="35"/>
      <c r="IU38" s="35"/>
      <c r="IV38" s="35"/>
      <c r="IW38" s="35"/>
      <c r="IX38" s="35"/>
      <c r="IY38" s="35"/>
      <c r="IZ38" s="35"/>
      <c r="JA38" s="35"/>
      <c r="JB38" s="35"/>
      <c r="JC38" s="35"/>
      <c r="JD38" s="35"/>
      <c r="JE38" s="35"/>
      <c r="JF38" s="35"/>
      <c r="JG38" s="35"/>
      <c r="JH38" s="35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T38" s="35"/>
      <c r="JU38" s="35"/>
      <c r="JV38" s="35"/>
      <c r="JW38" s="35"/>
      <c r="JX38" s="35"/>
      <c r="JY38" s="35"/>
      <c r="JZ38" s="35"/>
      <c r="KA38" s="35"/>
      <c r="KB38" s="35"/>
      <c r="KC38" s="35"/>
      <c r="KD38" s="35"/>
      <c r="KE38" s="35"/>
      <c r="KF38" s="35"/>
      <c r="KG38" s="35"/>
      <c r="KH38" s="35"/>
      <c r="KI38" s="35"/>
      <c r="KJ38" s="35"/>
      <c r="KK38" s="35"/>
      <c r="KL38" s="35"/>
      <c r="KM38" s="35"/>
      <c r="KN38" s="35"/>
      <c r="KO38" s="35"/>
      <c r="KP38" s="35"/>
      <c r="KQ38" s="35"/>
      <c r="KR38" s="35"/>
      <c r="KS38" s="35"/>
      <c r="KT38" s="35"/>
      <c r="KU38" s="35"/>
      <c r="KV38" s="35"/>
      <c r="KW38" s="35"/>
      <c r="KX38" s="35"/>
      <c r="KY38" s="35"/>
      <c r="KZ38" s="35"/>
      <c r="LA38" s="35"/>
      <c r="LB38" s="35"/>
      <c r="LC38" s="35"/>
      <c r="LD38" s="35"/>
    </row>
    <row r="39" customFormat="false" ht="15" hidden="false" customHeight="false" outlineLevel="0" collapsed="false">
      <c r="A39" s="35" t="s">
        <v>144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5"/>
      <c r="JY39" s="35"/>
      <c r="JZ39" s="35"/>
      <c r="KA39" s="35"/>
      <c r="KB39" s="35"/>
      <c r="KC39" s="35"/>
      <c r="KD39" s="35"/>
      <c r="KE39" s="35"/>
      <c r="KF39" s="35"/>
      <c r="KG39" s="35"/>
      <c r="KH39" s="35"/>
      <c r="KI39" s="35"/>
      <c r="KJ39" s="35"/>
      <c r="KK39" s="35"/>
      <c r="KL39" s="35"/>
      <c r="KM39" s="35"/>
      <c r="KN39" s="35"/>
      <c r="KO39" s="35"/>
      <c r="KP39" s="35"/>
      <c r="KQ39" s="35"/>
      <c r="KR39" s="35"/>
      <c r="KS39" s="35"/>
      <c r="KT39" s="35"/>
      <c r="KU39" s="35"/>
      <c r="KV39" s="35"/>
      <c r="KW39" s="35"/>
      <c r="KX39" s="35"/>
      <c r="KY39" s="35"/>
      <c r="KZ39" s="35"/>
      <c r="LA39" s="35"/>
      <c r="LB39" s="35"/>
      <c r="LC39" s="35"/>
      <c r="LD39" s="35"/>
    </row>
    <row r="40" customFormat="false" ht="15" hidden="false" customHeight="false" outlineLevel="0" collapsed="false">
      <c r="A40" s="35" t="s">
        <v>146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5"/>
      <c r="HE40" s="35"/>
      <c r="HF40" s="35"/>
      <c r="HG40" s="35"/>
      <c r="HH40" s="35"/>
      <c r="HI40" s="35"/>
      <c r="HJ40" s="35"/>
      <c r="HK40" s="35"/>
      <c r="HL40" s="35"/>
      <c r="HM40" s="35"/>
      <c r="HN40" s="35"/>
      <c r="HO40" s="35"/>
      <c r="HP40" s="35"/>
      <c r="HQ40" s="35"/>
      <c r="HR40" s="35"/>
      <c r="HS40" s="35"/>
      <c r="HT40" s="35"/>
      <c r="HU40" s="35"/>
      <c r="HV40" s="35"/>
      <c r="HW40" s="35"/>
      <c r="HX40" s="35"/>
      <c r="HY40" s="35"/>
      <c r="HZ40" s="35"/>
      <c r="IA40" s="35"/>
      <c r="IB40" s="35"/>
      <c r="IC40" s="35"/>
      <c r="ID40" s="35"/>
      <c r="IE40" s="35"/>
      <c r="IF40" s="35"/>
      <c r="IG40" s="35"/>
      <c r="IH40" s="35"/>
      <c r="II40" s="35"/>
      <c r="IJ40" s="35"/>
      <c r="IK40" s="35"/>
      <c r="IL40" s="35"/>
      <c r="IM40" s="35"/>
      <c r="IN40" s="35"/>
      <c r="IO40" s="35"/>
      <c r="IP40" s="35"/>
      <c r="IQ40" s="35"/>
      <c r="IR40" s="35"/>
      <c r="IS40" s="35"/>
      <c r="IT40" s="35"/>
      <c r="IU40" s="35"/>
      <c r="IV40" s="35"/>
      <c r="IW40" s="35"/>
      <c r="IX40" s="35"/>
      <c r="IY40" s="35"/>
      <c r="IZ40" s="35"/>
      <c r="JA40" s="35"/>
      <c r="JB40" s="35"/>
      <c r="JC40" s="35"/>
      <c r="JD40" s="35"/>
      <c r="JE40" s="35"/>
      <c r="JF40" s="35"/>
      <c r="JG40" s="35"/>
      <c r="JH40" s="35"/>
      <c r="JI40" s="35"/>
      <c r="JJ40" s="35"/>
      <c r="JK40" s="35"/>
      <c r="JL40" s="35"/>
      <c r="JM40" s="35"/>
      <c r="JN40" s="35"/>
      <c r="JO40" s="35"/>
      <c r="JP40" s="35"/>
      <c r="JQ40" s="35"/>
      <c r="JR40" s="35"/>
      <c r="JS40" s="35"/>
      <c r="JT40" s="35"/>
      <c r="JU40" s="35"/>
      <c r="JV40" s="35"/>
      <c r="JW40" s="35"/>
      <c r="JX40" s="35"/>
      <c r="JY40" s="35"/>
      <c r="JZ40" s="35"/>
      <c r="KA40" s="35"/>
      <c r="KB40" s="35"/>
      <c r="KC40" s="35"/>
      <c r="KD40" s="35"/>
      <c r="KE40" s="35"/>
      <c r="KF40" s="35"/>
      <c r="KG40" s="35"/>
      <c r="KH40" s="35"/>
      <c r="KI40" s="35"/>
      <c r="KJ40" s="35"/>
      <c r="KK40" s="35"/>
      <c r="KL40" s="35"/>
      <c r="KM40" s="35"/>
      <c r="KN40" s="35"/>
      <c r="KO40" s="35"/>
      <c r="KP40" s="35"/>
      <c r="KQ40" s="35"/>
      <c r="KR40" s="35"/>
      <c r="KS40" s="35"/>
      <c r="KT40" s="35"/>
      <c r="KU40" s="35"/>
      <c r="KV40" s="35"/>
      <c r="KW40" s="35"/>
      <c r="KX40" s="35"/>
      <c r="KY40" s="35"/>
      <c r="KZ40" s="35"/>
      <c r="LA40" s="35"/>
      <c r="LB40" s="35"/>
      <c r="LC40" s="35"/>
      <c r="LD40" s="35"/>
    </row>
    <row r="41" customFormat="false" ht="15" hidden="false" customHeight="false" outlineLevel="0" collapsed="false">
      <c r="A41" s="35" t="s">
        <v>148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5"/>
      <c r="HE41" s="35"/>
      <c r="HF41" s="35"/>
      <c r="HG41" s="35"/>
      <c r="HH41" s="35"/>
      <c r="HI41" s="35"/>
      <c r="HJ41" s="35"/>
      <c r="HK41" s="35"/>
      <c r="HL41" s="35"/>
      <c r="HM41" s="35"/>
      <c r="HN41" s="35"/>
      <c r="HO41" s="35"/>
      <c r="HP41" s="35"/>
      <c r="HQ41" s="35"/>
      <c r="HR41" s="35"/>
      <c r="HS41" s="35"/>
      <c r="HT41" s="35"/>
      <c r="HU41" s="35"/>
      <c r="HV41" s="35"/>
      <c r="HW41" s="35"/>
      <c r="HX41" s="35"/>
      <c r="HY41" s="35"/>
      <c r="HZ41" s="35"/>
      <c r="IA41" s="35"/>
      <c r="IB41" s="35"/>
      <c r="IC41" s="35"/>
      <c r="ID41" s="35"/>
      <c r="IE41" s="35"/>
      <c r="IF41" s="35"/>
      <c r="IG41" s="35"/>
      <c r="IH41" s="35"/>
      <c r="II41" s="35"/>
      <c r="IJ41" s="35"/>
      <c r="IK41" s="35"/>
      <c r="IL41" s="35"/>
      <c r="IM41" s="35"/>
      <c r="IN41" s="35"/>
      <c r="IO41" s="35"/>
      <c r="IP41" s="35"/>
      <c r="IQ41" s="35"/>
      <c r="IR41" s="35"/>
      <c r="IS41" s="35"/>
      <c r="IT41" s="35"/>
      <c r="IU41" s="35"/>
      <c r="IV41" s="35"/>
      <c r="IW41" s="35"/>
      <c r="IX41" s="35"/>
      <c r="IY41" s="35"/>
      <c r="IZ41" s="35"/>
      <c r="JA41" s="35"/>
      <c r="JB41" s="35"/>
      <c r="JC41" s="35"/>
      <c r="JD41" s="35"/>
      <c r="JE41" s="35"/>
      <c r="JF41" s="35"/>
      <c r="JG41" s="35"/>
      <c r="JH41" s="35"/>
      <c r="JI41" s="35"/>
      <c r="JJ41" s="35"/>
      <c r="JK41" s="35"/>
      <c r="JL41" s="35"/>
      <c r="JM41" s="35"/>
      <c r="JN41" s="35"/>
      <c r="JO41" s="35"/>
      <c r="JP41" s="35"/>
      <c r="JQ41" s="35"/>
      <c r="JR41" s="35"/>
      <c r="JS41" s="35"/>
      <c r="JT41" s="35"/>
      <c r="JU41" s="35"/>
      <c r="JV41" s="35"/>
      <c r="JW41" s="35"/>
      <c r="JX41" s="35"/>
      <c r="JY41" s="35"/>
      <c r="JZ41" s="35"/>
      <c r="KA41" s="35"/>
      <c r="KB41" s="35"/>
      <c r="KC41" s="35"/>
      <c r="KD41" s="35"/>
      <c r="KE41" s="35"/>
      <c r="KF41" s="35"/>
      <c r="KG41" s="35"/>
      <c r="KH41" s="35"/>
      <c r="KI41" s="35"/>
      <c r="KJ41" s="35"/>
      <c r="KK41" s="35"/>
      <c r="KL41" s="35"/>
      <c r="KM41" s="35"/>
      <c r="KN41" s="35"/>
      <c r="KO41" s="35"/>
      <c r="KP41" s="35"/>
      <c r="KQ41" s="35"/>
      <c r="KR41" s="35"/>
      <c r="KS41" s="35"/>
      <c r="KT41" s="35"/>
      <c r="KU41" s="35"/>
      <c r="KV41" s="35"/>
      <c r="KW41" s="35"/>
      <c r="KX41" s="35"/>
      <c r="KY41" s="35"/>
      <c r="KZ41" s="35"/>
      <c r="LA41" s="35"/>
      <c r="LB41" s="35"/>
      <c r="LC41" s="35"/>
      <c r="LD41" s="35"/>
    </row>
    <row r="42" customFormat="false" ht="15" hidden="false" customHeight="false" outlineLevel="0" collapsed="false">
      <c r="A42" s="35" t="s">
        <v>150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5"/>
      <c r="HE42" s="35"/>
      <c r="HF42" s="35"/>
      <c r="HG42" s="35"/>
      <c r="HH42" s="35"/>
      <c r="HI42" s="35"/>
      <c r="HJ42" s="35"/>
      <c r="HK42" s="35"/>
      <c r="HL42" s="35"/>
      <c r="HM42" s="35"/>
      <c r="HN42" s="35"/>
      <c r="HO42" s="35"/>
      <c r="HP42" s="35"/>
      <c r="HQ42" s="35"/>
      <c r="HR42" s="35"/>
      <c r="HS42" s="35"/>
      <c r="HT42" s="35"/>
      <c r="HU42" s="35"/>
      <c r="HV42" s="35"/>
      <c r="HW42" s="35"/>
      <c r="HX42" s="35"/>
      <c r="HY42" s="35"/>
      <c r="HZ42" s="35"/>
      <c r="IA42" s="35"/>
      <c r="IB42" s="35"/>
      <c r="IC42" s="35"/>
      <c r="ID42" s="35"/>
      <c r="IE42" s="35"/>
      <c r="IF42" s="35"/>
      <c r="IG42" s="35"/>
      <c r="IH42" s="35"/>
      <c r="II42" s="35"/>
      <c r="IJ42" s="35"/>
      <c r="IK42" s="35"/>
      <c r="IL42" s="35"/>
      <c r="IM42" s="35"/>
      <c r="IN42" s="35"/>
      <c r="IO42" s="35"/>
      <c r="IP42" s="35"/>
      <c r="IQ42" s="35"/>
      <c r="IR42" s="35"/>
      <c r="IS42" s="35"/>
      <c r="IT42" s="35"/>
      <c r="IU42" s="35"/>
      <c r="IV42" s="35"/>
      <c r="IW42" s="35"/>
      <c r="IX42" s="35"/>
      <c r="IY42" s="35"/>
      <c r="IZ42" s="35"/>
      <c r="JA42" s="35"/>
      <c r="JB42" s="35"/>
      <c r="JC42" s="35"/>
      <c r="JD42" s="35"/>
      <c r="JE42" s="35"/>
      <c r="JF42" s="35"/>
      <c r="JG42" s="35"/>
      <c r="JH42" s="35"/>
      <c r="JI42" s="35"/>
      <c r="JJ42" s="35"/>
      <c r="JK42" s="35"/>
      <c r="JL42" s="35"/>
      <c r="JM42" s="35"/>
      <c r="JN42" s="35"/>
      <c r="JO42" s="35"/>
      <c r="JP42" s="35"/>
      <c r="JQ42" s="35"/>
      <c r="JR42" s="35"/>
      <c r="JS42" s="35"/>
      <c r="JT42" s="35"/>
      <c r="JU42" s="35"/>
      <c r="JV42" s="35"/>
      <c r="JW42" s="35"/>
      <c r="JX42" s="35"/>
      <c r="JY42" s="35"/>
      <c r="JZ42" s="35"/>
      <c r="KA42" s="35"/>
      <c r="KB42" s="35"/>
      <c r="KC42" s="35"/>
      <c r="KD42" s="35"/>
      <c r="KE42" s="35"/>
      <c r="KF42" s="35"/>
      <c r="KG42" s="35"/>
      <c r="KH42" s="35"/>
      <c r="KI42" s="35"/>
      <c r="KJ42" s="35"/>
      <c r="KK42" s="35"/>
      <c r="KL42" s="35"/>
      <c r="KM42" s="35"/>
      <c r="KN42" s="35"/>
      <c r="KO42" s="35"/>
      <c r="KP42" s="35"/>
      <c r="KQ42" s="35"/>
      <c r="KR42" s="35"/>
      <c r="KS42" s="35"/>
      <c r="KT42" s="35"/>
      <c r="KU42" s="35"/>
      <c r="KV42" s="35"/>
      <c r="KW42" s="35"/>
      <c r="KX42" s="35"/>
      <c r="KY42" s="35"/>
      <c r="KZ42" s="35"/>
      <c r="LA42" s="35"/>
      <c r="LB42" s="35"/>
      <c r="LC42" s="35"/>
      <c r="LD42" s="35"/>
    </row>
    <row r="43" customFormat="false" ht="15" hidden="false" customHeight="false" outlineLevel="0" collapsed="false">
      <c r="A43" s="35" t="s">
        <v>152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</row>
    <row r="44" customFormat="false" ht="15" hidden="false" customHeight="false" outlineLevel="0" collapsed="false">
      <c r="A44" s="35" t="s">
        <v>154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</row>
    <row r="45" customFormat="false" ht="15" hidden="false" customHeight="false" outlineLevel="0" collapsed="false">
      <c r="A45" s="35" t="s">
        <v>156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</row>
    <row r="46" customFormat="false" ht="15" hidden="false" customHeight="false" outlineLevel="0" collapsed="false">
      <c r="A46" s="35" t="s">
        <v>158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5"/>
      <c r="HE46" s="35"/>
      <c r="HF46" s="35"/>
      <c r="HG46" s="35"/>
      <c r="HH46" s="35"/>
      <c r="HI46" s="35"/>
      <c r="HJ46" s="35"/>
      <c r="HK46" s="35"/>
      <c r="HL46" s="35"/>
      <c r="HM46" s="35"/>
      <c r="HN46" s="35"/>
      <c r="HO46" s="35"/>
      <c r="HP46" s="35"/>
      <c r="HQ46" s="35"/>
      <c r="HR46" s="35"/>
      <c r="HS46" s="35"/>
      <c r="HT46" s="35"/>
      <c r="HU46" s="35"/>
      <c r="HV46" s="35"/>
      <c r="HW46" s="35"/>
      <c r="HX46" s="35"/>
      <c r="HY46" s="35"/>
      <c r="HZ46" s="35"/>
      <c r="IA46" s="35"/>
      <c r="IB46" s="35"/>
      <c r="IC46" s="35"/>
      <c r="ID46" s="35"/>
      <c r="IE46" s="35"/>
      <c r="IF46" s="35"/>
      <c r="IG46" s="35"/>
      <c r="IH46" s="35"/>
      <c r="II46" s="35"/>
      <c r="IJ46" s="35"/>
      <c r="IK46" s="35"/>
      <c r="IL46" s="35"/>
      <c r="IM46" s="35"/>
      <c r="IN46" s="35"/>
      <c r="IO46" s="35"/>
      <c r="IP46" s="35"/>
      <c r="IQ46" s="35"/>
      <c r="IR46" s="35"/>
      <c r="IS46" s="35"/>
      <c r="IT46" s="35"/>
      <c r="IU46" s="35"/>
      <c r="IV46" s="35"/>
      <c r="IW46" s="35"/>
      <c r="IX46" s="35"/>
      <c r="IY46" s="35"/>
      <c r="IZ46" s="35"/>
      <c r="JA46" s="35"/>
      <c r="JB46" s="35"/>
      <c r="JC46" s="35"/>
      <c r="JD46" s="35"/>
      <c r="JE46" s="35"/>
      <c r="JF46" s="35"/>
      <c r="JG46" s="35"/>
      <c r="JH46" s="35"/>
      <c r="JI46" s="35"/>
      <c r="JJ46" s="35"/>
      <c r="JK46" s="35"/>
      <c r="JL46" s="35"/>
      <c r="JM46" s="35"/>
      <c r="JN46" s="35"/>
      <c r="JO46" s="35"/>
      <c r="JP46" s="35"/>
      <c r="JQ46" s="35"/>
      <c r="JR46" s="35"/>
      <c r="JS46" s="35"/>
      <c r="JT46" s="35"/>
      <c r="JU46" s="35"/>
      <c r="JV46" s="35"/>
      <c r="JW46" s="35"/>
      <c r="JX46" s="35"/>
      <c r="JY46" s="35"/>
      <c r="JZ46" s="35"/>
      <c r="KA46" s="35"/>
      <c r="KB46" s="35"/>
      <c r="KC46" s="35"/>
      <c r="KD46" s="35"/>
      <c r="KE46" s="35"/>
      <c r="KF46" s="35"/>
      <c r="KG46" s="35"/>
      <c r="KH46" s="35"/>
      <c r="KI46" s="35"/>
      <c r="KJ46" s="35"/>
      <c r="KK46" s="35"/>
      <c r="KL46" s="35"/>
      <c r="KM46" s="35"/>
      <c r="KN46" s="35"/>
      <c r="KO46" s="35"/>
      <c r="KP46" s="35"/>
      <c r="KQ46" s="35"/>
      <c r="KR46" s="35"/>
      <c r="KS46" s="35"/>
      <c r="KT46" s="35"/>
      <c r="KU46" s="35"/>
      <c r="KV46" s="35"/>
      <c r="KW46" s="35"/>
      <c r="KX46" s="35"/>
      <c r="KY46" s="35"/>
      <c r="KZ46" s="35"/>
      <c r="LA46" s="35"/>
      <c r="LB46" s="35"/>
      <c r="LC46" s="35"/>
      <c r="LD46" s="35"/>
    </row>
    <row r="47" customFormat="false" ht="15" hidden="false" customHeight="false" outlineLevel="0" collapsed="false">
      <c r="A47" s="35" t="s">
        <v>160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  <c r="JZ47" s="35"/>
      <c r="KA47" s="35"/>
      <c r="KB47" s="35"/>
      <c r="KC47" s="35"/>
      <c r="KD47" s="35"/>
      <c r="KE47" s="35"/>
      <c r="KF47" s="35"/>
      <c r="KG47" s="35"/>
      <c r="KH47" s="35"/>
      <c r="KI47" s="35"/>
      <c r="KJ47" s="35"/>
      <c r="KK47" s="35"/>
      <c r="KL47" s="35"/>
      <c r="KM47" s="35"/>
      <c r="KN47" s="35"/>
      <c r="KO47" s="35"/>
      <c r="KP47" s="35"/>
      <c r="KQ47" s="35"/>
      <c r="KR47" s="35"/>
      <c r="KS47" s="35"/>
      <c r="KT47" s="35"/>
      <c r="KU47" s="35"/>
      <c r="KV47" s="35"/>
      <c r="KW47" s="35"/>
      <c r="KX47" s="35"/>
      <c r="KY47" s="35"/>
      <c r="KZ47" s="35"/>
      <c r="LA47" s="35"/>
      <c r="LB47" s="35"/>
      <c r="LC47" s="35"/>
      <c r="LD47" s="35"/>
    </row>
    <row r="48" customFormat="false" ht="15" hidden="false" customHeight="false" outlineLevel="0" collapsed="false">
      <c r="A48" s="35" t="s">
        <v>162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5"/>
      <c r="HE48" s="35"/>
      <c r="HF48" s="35"/>
      <c r="HG48" s="35"/>
      <c r="HH48" s="35"/>
      <c r="HI48" s="35"/>
      <c r="HJ48" s="35"/>
      <c r="HK48" s="35"/>
      <c r="HL48" s="35"/>
      <c r="HM48" s="35"/>
      <c r="HN48" s="35"/>
      <c r="HO48" s="35"/>
      <c r="HP48" s="35"/>
      <c r="HQ48" s="35"/>
      <c r="HR48" s="35"/>
      <c r="HS48" s="35"/>
      <c r="HT48" s="35"/>
      <c r="HU48" s="35"/>
      <c r="HV48" s="35"/>
      <c r="HW48" s="35"/>
      <c r="HX48" s="35"/>
      <c r="HY48" s="35"/>
      <c r="HZ48" s="35"/>
      <c r="IA48" s="35"/>
      <c r="IB48" s="35"/>
      <c r="IC48" s="35"/>
      <c r="ID48" s="35"/>
      <c r="IE48" s="35"/>
      <c r="IF48" s="35"/>
      <c r="IG48" s="35"/>
      <c r="IH48" s="35"/>
      <c r="II48" s="35"/>
      <c r="IJ48" s="35"/>
      <c r="IK48" s="35"/>
      <c r="IL48" s="35"/>
      <c r="IM48" s="35"/>
      <c r="IN48" s="35"/>
      <c r="IO48" s="35"/>
      <c r="IP48" s="35"/>
      <c r="IQ48" s="35"/>
      <c r="IR48" s="35"/>
      <c r="IS48" s="35"/>
      <c r="IT48" s="35"/>
      <c r="IU48" s="35"/>
      <c r="IV48" s="35"/>
      <c r="IW48" s="35"/>
      <c r="IX48" s="35"/>
      <c r="IY48" s="35"/>
      <c r="IZ48" s="35"/>
      <c r="JA48" s="35"/>
      <c r="JB48" s="35"/>
      <c r="JC48" s="35"/>
      <c r="JD48" s="35"/>
      <c r="JE48" s="35"/>
      <c r="JF48" s="35"/>
      <c r="JG48" s="35"/>
      <c r="JH48" s="35"/>
      <c r="JI48" s="35"/>
      <c r="JJ48" s="35"/>
      <c r="JK48" s="35"/>
      <c r="JL48" s="35"/>
      <c r="JM48" s="35"/>
      <c r="JN48" s="35"/>
      <c r="JO48" s="35"/>
      <c r="JP48" s="35"/>
      <c r="JQ48" s="35"/>
      <c r="JR48" s="35"/>
      <c r="JS48" s="35"/>
      <c r="JT48" s="35"/>
      <c r="JU48" s="35"/>
      <c r="JV48" s="35"/>
      <c r="JW48" s="35"/>
      <c r="JX48" s="35"/>
      <c r="JY48" s="35"/>
      <c r="JZ48" s="35"/>
      <c r="KA48" s="35"/>
      <c r="KB48" s="35"/>
      <c r="KC48" s="35"/>
      <c r="KD48" s="35"/>
      <c r="KE48" s="35"/>
      <c r="KF48" s="35"/>
      <c r="KG48" s="35"/>
      <c r="KH48" s="35"/>
      <c r="KI48" s="35"/>
      <c r="KJ48" s="35"/>
      <c r="KK48" s="35"/>
      <c r="KL48" s="35"/>
      <c r="KM48" s="35"/>
      <c r="KN48" s="35"/>
      <c r="KO48" s="35"/>
      <c r="KP48" s="35"/>
      <c r="KQ48" s="35"/>
      <c r="KR48" s="35"/>
      <c r="KS48" s="35"/>
      <c r="KT48" s="35"/>
      <c r="KU48" s="35"/>
      <c r="KV48" s="35"/>
      <c r="KW48" s="35"/>
      <c r="KX48" s="35"/>
      <c r="KY48" s="35"/>
      <c r="KZ48" s="35"/>
      <c r="LA48" s="35"/>
      <c r="LB48" s="35"/>
      <c r="LC48" s="35"/>
      <c r="LD48" s="35"/>
    </row>
    <row r="49" customFormat="false" ht="15" hidden="false" customHeight="false" outlineLevel="0" collapsed="false">
      <c r="A49" s="35" t="s">
        <v>164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5"/>
      <c r="HE49" s="35"/>
      <c r="HF49" s="35"/>
      <c r="HG49" s="35"/>
      <c r="HH49" s="35"/>
      <c r="HI49" s="35"/>
      <c r="HJ49" s="35"/>
      <c r="HK49" s="35"/>
      <c r="HL49" s="35"/>
      <c r="HM49" s="35"/>
      <c r="HN49" s="35"/>
      <c r="HO49" s="35"/>
      <c r="HP49" s="35"/>
      <c r="HQ49" s="35"/>
      <c r="HR49" s="35"/>
      <c r="HS49" s="35"/>
      <c r="HT49" s="35"/>
      <c r="HU49" s="35"/>
      <c r="HV49" s="35"/>
      <c r="HW49" s="35"/>
      <c r="HX49" s="35"/>
      <c r="HY49" s="35"/>
      <c r="HZ49" s="35"/>
      <c r="IA49" s="35"/>
      <c r="IB49" s="35"/>
      <c r="IC49" s="35"/>
      <c r="ID49" s="35"/>
      <c r="IE49" s="35"/>
      <c r="IF49" s="35"/>
      <c r="IG49" s="35"/>
      <c r="IH49" s="35"/>
      <c r="II49" s="35"/>
      <c r="IJ49" s="35"/>
      <c r="IK49" s="35"/>
      <c r="IL49" s="35"/>
      <c r="IM49" s="35"/>
      <c r="IN49" s="35"/>
      <c r="IO49" s="35"/>
      <c r="IP49" s="35"/>
      <c r="IQ49" s="35"/>
      <c r="IR49" s="35"/>
      <c r="IS49" s="35"/>
      <c r="IT49" s="35"/>
      <c r="IU49" s="35"/>
      <c r="IV49" s="35"/>
      <c r="IW49" s="35"/>
      <c r="IX49" s="35"/>
      <c r="IY49" s="35"/>
      <c r="IZ49" s="35"/>
      <c r="JA49" s="35"/>
      <c r="JB49" s="35"/>
      <c r="JC49" s="35"/>
      <c r="JD49" s="35"/>
      <c r="JE49" s="35"/>
      <c r="JF49" s="35"/>
      <c r="JG49" s="35"/>
      <c r="JH49" s="35"/>
      <c r="JI49" s="35"/>
      <c r="JJ49" s="35"/>
      <c r="JK49" s="35"/>
      <c r="JL49" s="35"/>
      <c r="JM49" s="35"/>
      <c r="JN49" s="35"/>
      <c r="JO49" s="35"/>
      <c r="JP49" s="35"/>
      <c r="JQ49" s="35"/>
      <c r="JR49" s="35"/>
      <c r="JS49" s="35"/>
      <c r="JT49" s="35"/>
      <c r="JU49" s="35"/>
      <c r="JV49" s="35"/>
      <c r="JW49" s="35"/>
      <c r="JX49" s="35"/>
      <c r="JY49" s="35"/>
      <c r="JZ49" s="35"/>
      <c r="KA49" s="35"/>
      <c r="KB49" s="35"/>
      <c r="KC49" s="35"/>
      <c r="KD49" s="35"/>
      <c r="KE49" s="35"/>
      <c r="KF49" s="35"/>
      <c r="KG49" s="35"/>
      <c r="KH49" s="35"/>
      <c r="KI49" s="35"/>
      <c r="KJ49" s="35"/>
      <c r="KK49" s="35"/>
      <c r="KL49" s="35"/>
      <c r="KM49" s="35"/>
      <c r="KN49" s="35"/>
      <c r="KO49" s="35"/>
      <c r="KP49" s="35"/>
      <c r="KQ49" s="35"/>
      <c r="KR49" s="35"/>
      <c r="KS49" s="35"/>
      <c r="KT49" s="35"/>
      <c r="KU49" s="35"/>
      <c r="KV49" s="35"/>
      <c r="KW49" s="35"/>
      <c r="KX49" s="35"/>
      <c r="KY49" s="35"/>
      <c r="KZ49" s="35"/>
      <c r="LA49" s="35"/>
      <c r="LB49" s="35"/>
      <c r="LC49" s="35"/>
      <c r="LD49" s="35"/>
    </row>
    <row r="50" customFormat="false" ht="15" hidden="false" customHeight="false" outlineLevel="0" collapsed="false">
      <c r="A50" s="35" t="s">
        <v>166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</row>
    <row r="51" customFormat="false" ht="15" hidden="false" customHeight="false" outlineLevel="0" collapsed="false">
      <c r="A51" s="35" t="s">
        <v>168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</row>
    <row r="52" customFormat="false" ht="15" hidden="false" customHeight="false" outlineLevel="0" collapsed="false">
      <c r="A52" s="35" t="s">
        <v>170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</row>
    <row r="53" customFormat="false" ht="15" hidden="false" customHeight="false" outlineLevel="0" collapsed="false">
      <c r="A53" s="35" t="s">
        <v>172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</row>
    <row r="54" customFormat="false" ht="15" hidden="false" customHeight="false" outlineLevel="0" collapsed="false">
      <c r="A54" s="35" t="s">
        <v>174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</row>
    <row r="55" customFormat="false" ht="15" hidden="false" customHeight="false" outlineLevel="0" collapsed="false">
      <c r="A55" s="35" t="s">
        <v>176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</row>
    <row r="56" customFormat="false" ht="15" hidden="false" customHeight="false" outlineLevel="0" collapsed="false">
      <c r="A56" s="35" t="s">
        <v>178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</row>
    <row r="57" customFormat="false" ht="15" hidden="false" customHeight="false" outlineLevel="0" collapsed="false">
      <c r="A57" s="35" t="s">
        <v>180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</row>
    <row r="58" customFormat="false" ht="15" hidden="false" customHeight="false" outlineLevel="0" collapsed="false">
      <c r="A58" s="35" t="s">
        <v>182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</row>
    <row r="59" customFormat="false" ht="15" hidden="false" customHeight="false" outlineLevel="0" collapsed="false">
      <c r="A59" s="35" t="s">
        <v>184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</row>
    <row r="60" customFormat="false" ht="15" hidden="false" customHeight="false" outlineLevel="0" collapsed="false">
      <c r="A60" s="35" t="s">
        <v>186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</row>
    <row r="61" customFormat="false" ht="15" hidden="false" customHeight="false" outlineLevel="0" collapsed="false">
      <c r="A61" s="35" t="s">
        <v>188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</row>
    <row r="62" customFormat="false" ht="15" hidden="false" customHeight="false" outlineLevel="0" collapsed="false">
      <c r="A62" s="35" t="s">
        <v>190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</row>
    <row r="63" customFormat="false" ht="15" hidden="false" customHeight="false" outlineLevel="0" collapsed="false">
      <c r="A63" s="35" t="s">
        <v>192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  <c r="HG63" s="35"/>
      <c r="HH63" s="35"/>
      <c r="HI63" s="35"/>
      <c r="HJ63" s="35"/>
      <c r="HK63" s="35"/>
      <c r="HL63" s="35"/>
      <c r="HM63" s="35"/>
      <c r="HN63" s="35"/>
      <c r="HO63" s="35"/>
      <c r="HP63" s="35"/>
      <c r="HQ63" s="35"/>
      <c r="HR63" s="35"/>
      <c r="HS63" s="35"/>
      <c r="HT63" s="35"/>
      <c r="HU63" s="35"/>
      <c r="HV63" s="35"/>
      <c r="HW63" s="35"/>
      <c r="HX63" s="35"/>
      <c r="HY63" s="35"/>
      <c r="HZ63" s="35"/>
      <c r="IA63" s="35"/>
      <c r="IB63" s="35"/>
      <c r="IC63" s="35"/>
      <c r="ID63" s="35"/>
      <c r="IE63" s="35"/>
      <c r="IF63" s="35"/>
      <c r="IG63" s="35"/>
      <c r="IH63" s="35"/>
      <c r="II63" s="35"/>
      <c r="IJ63" s="35"/>
      <c r="IK63" s="35"/>
      <c r="IL63" s="35"/>
      <c r="IM63" s="35"/>
      <c r="IN63" s="35"/>
      <c r="IO63" s="35"/>
      <c r="IP63" s="35"/>
      <c r="IQ63" s="35"/>
      <c r="IR63" s="35"/>
      <c r="IS63" s="35"/>
      <c r="IT63" s="35"/>
      <c r="IU63" s="35"/>
      <c r="IV63" s="35"/>
      <c r="IW63" s="35"/>
      <c r="IX63" s="35"/>
      <c r="IY63" s="35"/>
      <c r="IZ63" s="35"/>
      <c r="JA63" s="35"/>
      <c r="JB63" s="35"/>
      <c r="JC63" s="35"/>
      <c r="JD63" s="35"/>
      <c r="JE63" s="35"/>
      <c r="JF63" s="35"/>
      <c r="JG63" s="35"/>
      <c r="JH63" s="35"/>
      <c r="JI63" s="35"/>
      <c r="JJ63" s="35"/>
      <c r="JK63" s="35"/>
      <c r="JL63" s="35"/>
      <c r="JM63" s="35"/>
      <c r="JN63" s="35"/>
      <c r="JO63" s="35"/>
      <c r="JP63" s="35"/>
      <c r="JQ63" s="35"/>
      <c r="JR63" s="35"/>
      <c r="JS63" s="35"/>
      <c r="JT63" s="35"/>
      <c r="JU63" s="35"/>
      <c r="JV63" s="35"/>
      <c r="JW63" s="35"/>
      <c r="JX63" s="35"/>
      <c r="JY63" s="35"/>
      <c r="JZ63" s="35"/>
      <c r="KA63" s="35"/>
      <c r="KB63" s="35"/>
      <c r="KC63" s="35"/>
      <c r="KD63" s="35"/>
      <c r="KE63" s="35"/>
      <c r="KF63" s="35"/>
      <c r="KG63" s="35"/>
      <c r="KH63" s="35"/>
      <c r="KI63" s="35"/>
      <c r="KJ63" s="35"/>
      <c r="KK63" s="35"/>
      <c r="KL63" s="35"/>
      <c r="KM63" s="35"/>
      <c r="KN63" s="35"/>
      <c r="KO63" s="35"/>
      <c r="KP63" s="35"/>
      <c r="KQ63" s="35"/>
      <c r="KR63" s="35"/>
      <c r="KS63" s="35"/>
      <c r="KT63" s="35"/>
      <c r="KU63" s="35"/>
      <c r="KV63" s="35"/>
      <c r="KW63" s="35"/>
      <c r="KX63" s="35"/>
      <c r="KY63" s="35"/>
      <c r="KZ63" s="35"/>
      <c r="LA63" s="35"/>
      <c r="LB63" s="35"/>
      <c r="LC63" s="35"/>
      <c r="LD63" s="35"/>
    </row>
    <row r="64" customFormat="false" ht="15" hidden="false" customHeight="false" outlineLevel="0" collapsed="false">
      <c r="A64" s="35" t="s">
        <v>194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5"/>
      <c r="HE64" s="35"/>
      <c r="HF64" s="35"/>
      <c r="HG64" s="35"/>
      <c r="HH64" s="35"/>
      <c r="HI64" s="35"/>
      <c r="HJ64" s="35"/>
      <c r="HK64" s="35"/>
      <c r="HL64" s="35"/>
      <c r="HM64" s="35"/>
      <c r="HN64" s="35"/>
      <c r="HO64" s="35"/>
      <c r="HP64" s="35"/>
      <c r="HQ64" s="35"/>
      <c r="HR64" s="35"/>
      <c r="HS64" s="35"/>
      <c r="HT64" s="35"/>
      <c r="HU64" s="35"/>
      <c r="HV64" s="35"/>
      <c r="HW64" s="35"/>
      <c r="HX64" s="35"/>
      <c r="HY64" s="35"/>
      <c r="HZ64" s="35"/>
      <c r="IA64" s="35"/>
      <c r="IB64" s="35"/>
      <c r="IC64" s="35"/>
      <c r="ID64" s="35"/>
      <c r="IE64" s="35"/>
      <c r="IF64" s="35"/>
      <c r="IG64" s="35"/>
      <c r="IH64" s="35"/>
      <c r="II64" s="35"/>
      <c r="IJ64" s="35"/>
      <c r="IK64" s="35"/>
      <c r="IL64" s="35"/>
      <c r="IM64" s="35"/>
      <c r="IN64" s="35"/>
      <c r="IO64" s="35"/>
      <c r="IP64" s="35"/>
      <c r="IQ64" s="35"/>
      <c r="IR64" s="35"/>
      <c r="IS64" s="35"/>
      <c r="IT64" s="35"/>
      <c r="IU64" s="35"/>
      <c r="IV64" s="35"/>
      <c r="IW64" s="35"/>
      <c r="IX64" s="35"/>
      <c r="IY64" s="35"/>
      <c r="IZ64" s="35"/>
      <c r="JA64" s="35"/>
      <c r="JB64" s="35"/>
      <c r="JC64" s="35"/>
      <c r="JD64" s="35"/>
      <c r="JE64" s="35"/>
      <c r="JF64" s="35"/>
      <c r="JG64" s="35"/>
      <c r="JH64" s="35"/>
      <c r="JI64" s="35"/>
      <c r="JJ64" s="35"/>
      <c r="JK64" s="35"/>
      <c r="JL64" s="35"/>
      <c r="JM64" s="35"/>
      <c r="JN64" s="35"/>
      <c r="JO64" s="35"/>
      <c r="JP64" s="35"/>
      <c r="JQ64" s="35"/>
      <c r="JR64" s="35"/>
      <c r="JS64" s="35"/>
      <c r="JT64" s="35"/>
      <c r="JU64" s="35"/>
      <c r="JV64" s="35"/>
      <c r="JW64" s="35"/>
      <c r="JX64" s="35"/>
      <c r="JY64" s="35"/>
      <c r="JZ64" s="35"/>
      <c r="KA64" s="35"/>
      <c r="KB64" s="35"/>
      <c r="KC64" s="35"/>
      <c r="KD64" s="35"/>
      <c r="KE64" s="35"/>
      <c r="KF64" s="35"/>
      <c r="KG64" s="35"/>
      <c r="KH64" s="35"/>
      <c r="KI64" s="35"/>
      <c r="KJ64" s="35"/>
      <c r="KK64" s="35"/>
      <c r="KL64" s="35"/>
      <c r="KM64" s="35"/>
      <c r="KN64" s="35"/>
      <c r="KO64" s="35"/>
      <c r="KP64" s="35"/>
      <c r="KQ64" s="35"/>
      <c r="KR64" s="35"/>
      <c r="KS64" s="35"/>
      <c r="KT64" s="35"/>
      <c r="KU64" s="35"/>
      <c r="KV64" s="35"/>
      <c r="KW64" s="35"/>
      <c r="KX64" s="35"/>
      <c r="KY64" s="35"/>
      <c r="KZ64" s="35"/>
      <c r="LA64" s="35"/>
      <c r="LB64" s="35"/>
      <c r="LC64" s="35"/>
      <c r="LD64" s="35"/>
    </row>
    <row r="65" customFormat="false" ht="15" hidden="false" customHeight="false" outlineLevel="0" collapsed="false">
      <c r="A65" s="35" t="s">
        <v>196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5"/>
      <c r="HE65" s="35"/>
      <c r="HF65" s="35"/>
      <c r="HG65" s="35"/>
      <c r="HH65" s="35"/>
      <c r="HI65" s="35"/>
      <c r="HJ65" s="35"/>
      <c r="HK65" s="35"/>
      <c r="HL65" s="35"/>
      <c r="HM65" s="35"/>
      <c r="HN65" s="35"/>
      <c r="HO65" s="35"/>
      <c r="HP65" s="35"/>
      <c r="HQ65" s="35"/>
      <c r="HR65" s="35"/>
      <c r="HS65" s="35"/>
      <c r="HT65" s="35"/>
      <c r="HU65" s="35"/>
      <c r="HV65" s="35"/>
      <c r="HW65" s="35"/>
      <c r="HX65" s="35"/>
      <c r="HY65" s="35"/>
      <c r="HZ65" s="35"/>
      <c r="IA65" s="35"/>
      <c r="IB65" s="35"/>
      <c r="IC65" s="35"/>
      <c r="ID65" s="35"/>
      <c r="IE65" s="35"/>
      <c r="IF65" s="35"/>
      <c r="IG65" s="35"/>
      <c r="IH65" s="35"/>
      <c r="II65" s="35"/>
      <c r="IJ65" s="35"/>
      <c r="IK65" s="35"/>
      <c r="IL65" s="35"/>
      <c r="IM65" s="35"/>
      <c r="IN65" s="35"/>
      <c r="IO65" s="35"/>
      <c r="IP65" s="35"/>
      <c r="IQ65" s="35"/>
      <c r="IR65" s="35"/>
      <c r="IS65" s="35"/>
      <c r="IT65" s="35"/>
      <c r="IU65" s="35"/>
      <c r="IV65" s="35"/>
      <c r="IW65" s="35"/>
      <c r="IX65" s="35"/>
      <c r="IY65" s="35"/>
      <c r="IZ65" s="35"/>
      <c r="JA65" s="35"/>
      <c r="JB65" s="35"/>
      <c r="JC65" s="35"/>
      <c r="JD65" s="35"/>
      <c r="JE65" s="35"/>
      <c r="JF65" s="35"/>
      <c r="JG65" s="35"/>
      <c r="JH65" s="35"/>
      <c r="JI65" s="35"/>
      <c r="JJ65" s="35"/>
      <c r="JK65" s="35"/>
      <c r="JL65" s="35"/>
      <c r="JM65" s="35"/>
      <c r="JN65" s="35"/>
      <c r="JO65" s="35"/>
      <c r="JP65" s="35"/>
      <c r="JQ65" s="35"/>
      <c r="JR65" s="35"/>
      <c r="JS65" s="35"/>
      <c r="JT65" s="35"/>
      <c r="JU65" s="35"/>
      <c r="JV65" s="35"/>
      <c r="JW65" s="35"/>
      <c r="JX65" s="35"/>
      <c r="JY65" s="35"/>
      <c r="JZ65" s="35"/>
      <c r="KA65" s="35"/>
      <c r="KB65" s="35"/>
      <c r="KC65" s="35"/>
      <c r="KD65" s="35"/>
      <c r="KE65" s="35"/>
      <c r="KF65" s="35"/>
      <c r="KG65" s="35"/>
      <c r="KH65" s="35"/>
      <c r="KI65" s="35"/>
      <c r="KJ65" s="35"/>
      <c r="KK65" s="35"/>
      <c r="KL65" s="35"/>
      <c r="KM65" s="35"/>
      <c r="KN65" s="35"/>
      <c r="KO65" s="35"/>
      <c r="KP65" s="35"/>
      <c r="KQ65" s="35"/>
      <c r="KR65" s="35"/>
      <c r="KS65" s="35"/>
      <c r="KT65" s="35"/>
      <c r="KU65" s="35"/>
      <c r="KV65" s="35"/>
      <c r="KW65" s="35"/>
      <c r="KX65" s="35"/>
      <c r="KY65" s="35"/>
      <c r="KZ65" s="35"/>
      <c r="LA65" s="35"/>
      <c r="LB65" s="35"/>
      <c r="LC65" s="35"/>
      <c r="LD65" s="35"/>
    </row>
    <row r="66" customFormat="false" ht="15" hidden="false" customHeight="false" outlineLevel="0" collapsed="false">
      <c r="A66" s="35" t="s">
        <v>198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5"/>
      <c r="HE66" s="35"/>
      <c r="HF66" s="35"/>
      <c r="HG66" s="35"/>
      <c r="HH66" s="35"/>
      <c r="HI66" s="35"/>
      <c r="HJ66" s="35"/>
      <c r="HK66" s="35"/>
      <c r="HL66" s="35"/>
      <c r="HM66" s="35"/>
      <c r="HN66" s="35"/>
      <c r="HO66" s="35"/>
      <c r="HP66" s="35"/>
      <c r="HQ66" s="35"/>
      <c r="HR66" s="35"/>
      <c r="HS66" s="35"/>
      <c r="HT66" s="35"/>
      <c r="HU66" s="35"/>
      <c r="HV66" s="35"/>
      <c r="HW66" s="35"/>
      <c r="HX66" s="35"/>
      <c r="HY66" s="35"/>
      <c r="HZ66" s="35"/>
      <c r="IA66" s="35"/>
      <c r="IB66" s="35"/>
      <c r="IC66" s="35"/>
      <c r="ID66" s="35"/>
      <c r="IE66" s="35"/>
      <c r="IF66" s="35"/>
      <c r="IG66" s="35"/>
      <c r="IH66" s="35"/>
      <c r="II66" s="35"/>
      <c r="IJ66" s="35"/>
      <c r="IK66" s="35"/>
      <c r="IL66" s="35"/>
      <c r="IM66" s="35"/>
      <c r="IN66" s="35"/>
      <c r="IO66" s="35"/>
      <c r="IP66" s="35"/>
      <c r="IQ66" s="35"/>
      <c r="IR66" s="35"/>
      <c r="IS66" s="35"/>
      <c r="IT66" s="35"/>
      <c r="IU66" s="35"/>
      <c r="IV66" s="35"/>
      <c r="IW66" s="35"/>
      <c r="IX66" s="35"/>
      <c r="IY66" s="35"/>
      <c r="IZ66" s="35"/>
      <c r="JA66" s="35"/>
      <c r="JB66" s="35"/>
      <c r="JC66" s="35"/>
      <c r="JD66" s="35"/>
      <c r="JE66" s="35"/>
      <c r="JF66" s="35"/>
      <c r="JG66" s="35"/>
      <c r="JH66" s="35"/>
      <c r="JI66" s="35"/>
      <c r="JJ66" s="35"/>
      <c r="JK66" s="35"/>
      <c r="JL66" s="35"/>
      <c r="JM66" s="35"/>
      <c r="JN66" s="35"/>
      <c r="JO66" s="35"/>
      <c r="JP66" s="35"/>
      <c r="JQ66" s="35"/>
      <c r="JR66" s="35"/>
      <c r="JS66" s="35"/>
      <c r="JT66" s="35"/>
      <c r="JU66" s="35"/>
      <c r="JV66" s="35"/>
      <c r="JW66" s="35"/>
      <c r="JX66" s="35"/>
      <c r="JY66" s="35"/>
      <c r="JZ66" s="35"/>
      <c r="KA66" s="35"/>
      <c r="KB66" s="35"/>
      <c r="KC66" s="35"/>
      <c r="KD66" s="35"/>
      <c r="KE66" s="35"/>
      <c r="KF66" s="35"/>
      <c r="KG66" s="35"/>
      <c r="KH66" s="35"/>
      <c r="KI66" s="35"/>
      <c r="KJ66" s="35"/>
      <c r="KK66" s="35"/>
      <c r="KL66" s="35"/>
      <c r="KM66" s="35"/>
      <c r="KN66" s="35"/>
      <c r="KO66" s="35"/>
      <c r="KP66" s="35"/>
      <c r="KQ66" s="35"/>
      <c r="KR66" s="35"/>
      <c r="KS66" s="35"/>
      <c r="KT66" s="35"/>
      <c r="KU66" s="35"/>
      <c r="KV66" s="35"/>
      <c r="KW66" s="35"/>
      <c r="KX66" s="35"/>
      <c r="KY66" s="35"/>
      <c r="KZ66" s="35"/>
      <c r="LA66" s="35"/>
      <c r="LB66" s="35"/>
      <c r="LC66" s="35"/>
      <c r="LD66" s="35"/>
    </row>
    <row r="67" customFormat="false" ht="15" hidden="false" customHeight="false" outlineLevel="0" collapsed="false">
      <c r="A67" s="35" t="s">
        <v>200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5"/>
      <c r="HE67" s="35"/>
      <c r="HF67" s="35"/>
      <c r="HG67" s="35"/>
      <c r="HH67" s="35"/>
      <c r="HI67" s="35"/>
      <c r="HJ67" s="35"/>
      <c r="HK67" s="35"/>
      <c r="HL67" s="35"/>
      <c r="HM67" s="35"/>
      <c r="HN67" s="35"/>
      <c r="HO67" s="35"/>
      <c r="HP67" s="35"/>
      <c r="HQ67" s="35"/>
      <c r="HR67" s="35"/>
      <c r="HS67" s="35"/>
      <c r="HT67" s="35"/>
      <c r="HU67" s="35"/>
      <c r="HV67" s="35"/>
      <c r="HW67" s="35"/>
      <c r="HX67" s="35"/>
      <c r="HY67" s="35"/>
      <c r="HZ67" s="35"/>
      <c r="IA67" s="35"/>
      <c r="IB67" s="35"/>
      <c r="IC67" s="35"/>
      <c r="ID67" s="35"/>
      <c r="IE67" s="35"/>
      <c r="IF67" s="35"/>
      <c r="IG67" s="35"/>
      <c r="IH67" s="35"/>
      <c r="II67" s="35"/>
      <c r="IJ67" s="35"/>
      <c r="IK67" s="35"/>
      <c r="IL67" s="35"/>
      <c r="IM67" s="35"/>
      <c r="IN67" s="35"/>
      <c r="IO67" s="35"/>
      <c r="IP67" s="35"/>
      <c r="IQ67" s="35"/>
      <c r="IR67" s="35"/>
      <c r="IS67" s="35"/>
      <c r="IT67" s="35"/>
      <c r="IU67" s="35"/>
      <c r="IV67" s="35"/>
      <c r="IW67" s="35"/>
      <c r="IX67" s="35"/>
      <c r="IY67" s="35"/>
      <c r="IZ67" s="35"/>
      <c r="JA67" s="35"/>
      <c r="JB67" s="35"/>
      <c r="JC67" s="35"/>
      <c r="JD67" s="35"/>
      <c r="JE67" s="35"/>
      <c r="JF67" s="35"/>
      <c r="JG67" s="35"/>
      <c r="JH67" s="35"/>
      <c r="JI67" s="35"/>
      <c r="JJ67" s="35"/>
      <c r="JK67" s="35"/>
      <c r="JL67" s="35"/>
      <c r="JM67" s="35"/>
      <c r="JN67" s="35"/>
      <c r="JO67" s="35"/>
      <c r="JP67" s="35"/>
      <c r="JQ67" s="35"/>
      <c r="JR67" s="35"/>
      <c r="JS67" s="35"/>
      <c r="JT67" s="35"/>
      <c r="JU67" s="35"/>
      <c r="JV67" s="35"/>
      <c r="JW67" s="35"/>
      <c r="JX67" s="35"/>
      <c r="JY67" s="35"/>
      <c r="JZ67" s="35"/>
      <c r="KA67" s="35"/>
      <c r="KB67" s="35"/>
      <c r="KC67" s="35"/>
      <c r="KD67" s="35"/>
      <c r="KE67" s="35"/>
      <c r="KF67" s="35"/>
      <c r="KG67" s="35"/>
      <c r="KH67" s="35"/>
      <c r="KI67" s="35"/>
      <c r="KJ67" s="35"/>
      <c r="KK67" s="35"/>
      <c r="KL67" s="35"/>
      <c r="KM67" s="35"/>
      <c r="KN67" s="35"/>
      <c r="KO67" s="35"/>
      <c r="KP67" s="35"/>
      <c r="KQ67" s="35"/>
      <c r="KR67" s="35"/>
      <c r="KS67" s="35"/>
      <c r="KT67" s="35"/>
      <c r="KU67" s="35"/>
      <c r="KV67" s="35"/>
      <c r="KW67" s="35"/>
      <c r="KX67" s="35"/>
      <c r="KY67" s="35"/>
      <c r="KZ67" s="35"/>
      <c r="LA67" s="35"/>
      <c r="LB67" s="35"/>
      <c r="LC67" s="35"/>
      <c r="LD67" s="35"/>
    </row>
    <row r="68" customFormat="false" ht="15" hidden="false" customHeight="false" outlineLevel="0" collapsed="false">
      <c r="A68" s="35" t="s">
        <v>202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5"/>
      <c r="HE68" s="35"/>
      <c r="HF68" s="35"/>
      <c r="HG68" s="35"/>
      <c r="HH68" s="35"/>
      <c r="HI68" s="35"/>
      <c r="HJ68" s="35"/>
      <c r="HK68" s="35"/>
      <c r="HL68" s="35"/>
      <c r="HM68" s="35"/>
      <c r="HN68" s="35"/>
      <c r="HO68" s="35"/>
      <c r="HP68" s="35"/>
      <c r="HQ68" s="35"/>
      <c r="HR68" s="35"/>
      <c r="HS68" s="35"/>
      <c r="HT68" s="35"/>
      <c r="HU68" s="35"/>
      <c r="HV68" s="35"/>
      <c r="HW68" s="35"/>
      <c r="HX68" s="35"/>
      <c r="HY68" s="35"/>
      <c r="HZ68" s="35"/>
      <c r="IA68" s="35"/>
      <c r="IB68" s="35"/>
      <c r="IC68" s="35"/>
      <c r="ID68" s="35"/>
      <c r="IE68" s="35"/>
      <c r="IF68" s="35"/>
      <c r="IG68" s="35"/>
      <c r="IH68" s="35"/>
      <c r="II68" s="35"/>
      <c r="IJ68" s="35"/>
      <c r="IK68" s="35"/>
      <c r="IL68" s="35"/>
      <c r="IM68" s="35"/>
      <c r="IN68" s="35"/>
      <c r="IO68" s="35"/>
      <c r="IP68" s="35"/>
      <c r="IQ68" s="35"/>
      <c r="IR68" s="35"/>
      <c r="IS68" s="35"/>
      <c r="IT68" s="35"/>
      <c r="IU68" s="35"/>
      <c r="IV68" s="35"/>
      <c r="IW68" s="35"/>
      <c r="IX68" s="35"/>
      <c r="IY68" s="35"/>
      <c r="IZ68" s="35"/>
      <c r="JA68" s="35"/>
      <c r="JB68" s="35"/>
      <c r="JC68" s="35"/>
      <c r="JD68" s="35"/>
      <c r="JE68" s="35"/>
      <c r="JF68" s="35"/>
      <c r="JG68" s="35"/>
      <c r="JH68" s="35"/>
      <c r="JI68" s="35"/>
      <c r="JJ68" s="35"/>
      <c r="JK68" s="35"/>
      <c r="JL68" s="35"/>
      <c r="JM68" s="35"/>
      <c r="JN68" s="35"/>
      <c r="JO68" s="35"/>
      <c r="JP68" s="35"/>
      <c r="JQ68" s="35"/>
      <c r="JR68" s="35"/>
      <c r="JS68" s="35"/>
      <c r="JT68" s="35"/>
      <c r="JU68" s="35"/>
      <c r="JV68" s="35"/>
      <c r="JW68" s="35"/>
      <c r="JX68" s="35"/>
      <c r="JY68" s="35"/>
      <c r="JZ68" s="35"/>
      <c r="KA68" s="35"/>
      <c r="KB68" s="35"/>
      <c r="KC68" s="35"/>
      <c r="KD68" s="35"/>
      <c r="KE68" s="35"/>
      <c r="KF68" s="35"/>
      <c r="KG68" s="35"/>
      <c r="KH68" s="35"/>
      <c r="KI68" s="35"/>
      <c r="KJ68" s="35"/>
      <c r="KK68" s="35"/>
      <c r="KL68" s="35"/>
      <c r="KM68" s="35"/>
      <c r="KN68" s="35"/>
      <c r="KO68" s="35"/>
      <c r="KP68" s="35"/>
      <c r="KQ68" s="35"/>
      <c r="KR68" s="35"/>
      <c r="KS68" s="35"/>
      <c r="KT68" s="35"/>
      <c r="KU68" s="35"/>
      <c r="KV68" s="35"/>
      <c r="KW68" s="35"/>
      <c r="KX68" s="35"/>
      <c r="KY68" s="35"/>
      <c r="KZ68" s="35"/>
      <c r="LA68" s="35"/>
      <c r="LB68" s="35"/>
      <c r="LC68" s="35"/>
      <c r="LD68" s="35"/>
    </row>
    <row r="69" customFormat="false" ht="15" hidden="false" customHeight="false" outlineLevel="0" collapsed="false">
      <c r="A69" s="35" t="s">
        <v>204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  <c r="HG69" s="35"/>
      <c r="HH69" s="35"/>
      <c r="HI69" s="35"/>
      <c r="HJ69" s="35"/>
      <c r="HK69" s="35"/>
      <c r="HL69" s="35"/>
      <c r="HM69" s="35"/>
      <c r="HN69" s="35"/>
      <c r="HO69" s="35"/>
      <c r="HP69" s="35"/>
      <c r="HQ69" s="35"/>
      <c r="HR69" s="35"/>
      <c r="HS69" s="35"/>
      <c r="HT69" s="35"/>
      <c r="HU69" s="35"/>
      <c r="HV69" s="35"/>
      <c r="HW69" s="35"/>
      <c r="HX69" s="35"/>
      <c r="HY69" s="35"/>
      <c r="HZ69" s="35"/>
      <c r="IA69" s="35"/>
      <c r="IB69" s="35"/>
      <c r="IC69" s="35"/>
      <c r="ID69" s="35"/>
      <c r="IE69" s="35"/>
      <c r="IF69" s="35"/>
      <c r="IG69" s="35"/>
      <c r="IH69" s="35"/>
      <c r="II69" s="35"/>
      <c r="IJ69" s="35"/>
      <c r="IK69" s="35"/>
      <c r="IL69" s="35"/>
      <c r="IM69" s="35"/>
      <c r="IN69" s="35"/>
      <c r="IO69" s="35"/>
      <c r="IP69" s="35"/>
      <c r="IQ69" s="35"/>
      <c r="IR69" s="35"/>
      <c r="IS69" s="35"/>
      <c r="IT69" s="35"/>
      <c r="IU69" s="35"/>
      <c r="IV69" s="35"/>
      <c r="IW69" s="35"/>
      <c r="IX69" s="35"/>
      <c r="IY69" s="35"/>
      <c r="IZ69" s="35"/>
      <c r="JA69" s="35"/>
      <c r="JB69" s="35"/>
      <c r="JC69" s="35"/>
      <c r="JD69" s="35"/>
      <c r="JE69" s="35"/>
      <c r="JF69" s="35"/>
      <c r="JG69" s="35"/>
      <c r="JH69" s="35"/>
      <c r="JI69" s="35"/>
      <c r="JJ69" s="35"/>
      <c r="JK69" s="35"/>
      <c r="JL69" s="35"/>
      <c r="JM69" s="35"/>
      <c r="JN69" s="35"/>
      <c r="JO69" s="35"/>
      <c r="JP69" s="35"/>
      <c r="JQ69" s="35"/>
      <c r="JR69" s="35"/>
      <c r="JS69" s="35"/>
      <c r="JT69" s="35"/>
      <c r="JU69" s="35"/>
      <c r="JV69" s="35"/>
      <c r="JW69" s="35"/>
      <c r="JX69" s="35"/>
      <c r="JY69" s="35"/>
      <c r="JZ69" s="35"/>
      <c r="KA69" s="35"/>
      <c r="KB69" s="35"/>
      <c r="KC69" s="35"/>
      <c r="KD69" s="35"/>
      <c r="KE69" s="35"/>
      <c r="KF69" s="35"/>
      <c r="KG69" s="35"/>
      <c r="KH69" s="35"/>
      <c r="KI69" s="35"/>
      <c r="KJ69" s="35"/>
      <c r="KK69" s="35"/>
      <c r="KL69" s="35"/>
      <c r="KM69" s="35"/>
      <c r="KN69" s="35"/>
      <c r="KO69" s="35"/>
      <c r="KP69" s="35"/>
      <c r="KQ69" s="35"/>
      <c r="KR69" s="35"/>
      <c r="KS69" s="35"/>
      <c r="KT69" s="35"/>
      <c r="KU69" s="35"/>
      <c r="KV69" s="35"/>
      <c r="KW69" s="35"/>
      <c r="KX69" s="35"/>
      <c r="KY69" s="35"/>
      <c r="KZ69" s="35"/>
      <c r="LA69" s="35"/>
      <c r="LB69" s="35"/>
      <c r="LC69" s="35"/>
      <c r="LD69" s="35"/>
    </row>
    <row r="70" customFormat="false" ht="15" hidden="false" customHeight="false" outlineLevel="0" collapsed="false">
      <c r="A70" s="35" t="s">
        <v>206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  <c r="IX70" s="35"/>
      <c r="IY70" s="35"/>
      <c r="IZ70" s="35"/>
      <c r="JA70" s="35"/>
      <c r="JB70" s="35"/>
      <c r="JC70" s="35"/>
      <c r="JD70" s="35"/>
      <c r="JE70" s="35"/>
      <c r="JF70" s="35"/>
      <c r="JG70" s="35"/>
      <c r="JH70" s="35"/>
      <c r="JI70" s="35"/>
      <c r="JJ70" s="35"/>
      <c r="JK70" s="35"/>
      <c r="JL70" s="35"/>
      <c r="JM70" s="35"/>
      <c r="JN70" s="35"/>
      <c r="JO70" s="35"/>
      <c r="JP70" s="35"/>
      <c r="JQ70" s="35"/>
      <c r="JR70" s="35"/>
      <c r="JS70" s="35"/>
      <c r="JT70" s="35"/>
      <c r="JU70" s="35"/>
      <c r="JV70" s="35"/>
      <c r="JW70" s="35"/>
      <c r="JX70" s="35"/>
      <c r="JY70" s="35"/>
      <c r="JZ70" s="35"/>
      <c r="KA70" s="35"/>
      <c r="KB70" s="35"/>
      <c r="KC70" s="35"/>
      <c r="KD70" s="35"/>
      <c r="KE70" s="35"/>
      <c r="KF70" s="35"/>
      <c r="KG70" s="35"/>
      <c r="KH70" s="35"/>
      <c r="KI70" s="35"/>
      <c r="KJ70" s="35"/>
      <c r="KK70" s="35"/>
      <c r="KL70" s="35"/>
      <c r="KM70" s="35"/>
      <c r="KN70" s="35"/>
      <c r="KO70" s="35"/>
      <c r="KP70" s="35"/>
      <c r="KQ70" s="35"/>
      <c r="KR70" s="35"/>
      <c r="KS70" s="35"/>
      <c r="KT70" s="35"/>
      <c r="KU70" s="35"/>
      <c r="KV70" s="35"/>
      <c r="KW70" s="35"/>
      <c r="KX70" s="35"/>
      <c r="KY70" s="35"/>
      <c r="KZ70" s="35"/>
      <c r="LA70" s="35"/>
      <c r="LB70" s="35"/>
      <c r="LC70" s="35"/>
      <c r="LD70" s="35"/>
    </row>
    <row r="71" customFormat="false" ht="15" hidden="false" customHeight="false" outlineLevel="0" collapsed="false">
      <c r="A71" s="35" t="s">
        <v>208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5"/>
      <c r="HE71" s="35"/>
      <c r="HF71" s="35"/>
      <c r="HG71" s="35"/>
      <c r="HH71" s="35"/>
      <c r="HI71" s="35"/>
      <c r="HJ71" s="35"/>
      <c r="HK71" s="35"/>
      <c r="HL71" s="35"/>
      <c r="HM71" s="35"/>
      <c r="HN71" s="35"/>
      <c r="HO71" s="35"/>
      <c r="HP71" s="35"/>
      <c r="HQ71" s="35"/>
      <c r="HR71" s="35"/>
      <c r="HS71" s="35"/>
      <c r="HT71" s="35"/>
      <c r="HU71" s="35"/>
      <c r="HV71" s="35"/>
      <c r="HW71" s="35"/>
      <c r="HX71" s="35"/>
      <c r="HY71" s="35"/>
      <c r="HZ71" s="35"/>
      <c r="IA71" s="35"/>
      <c r="IB71" s="35"/>
      <c r="IC71" s="35"/>
      <c r="ID71" s="35"/>
      <c r="IE71" s="35"/>
      <c r="IF71" s="35"/>
      <c r="IG71" s="35"/>
      <c r="IH71" s="35"/>
      <c r="II71" s="35"/>
      <c r="IJ71" s="35"/>
      <c r="IK71" s="35"/>
      <c r="IL71" s="35"/>
      <c r="IM71" s="35"/>
      <c r="IN71" s="35"/>
      <c r="IO71" s="35"/>
      <c r="IP71" s="35"/>
      <c r="IQ71" s="35"/>
      <c r="IR71" s="35"/>
      <c r="IS71" s="35"/>
      <c r="IT71" s="35"/>
      <c r="IU71" s="35"/>
      <c r="IV71" s="35"/>
      <c r="IW71" s="35"/>
      <c r="IX71" s="35"/>
      <c r="IY71" s="35"/>
      <c r="IZ71" s="35"/>
      <c r="JA71" s="35"/>
      <c r="JB71" s="35"/>
      <c r="JC71" s="35"/>
      <c r="JD71" s="35"/>
      <c r="JE71" s="35"/>
      <c r="JF71" s="35"/>
      <c r="JG71" s="35"/>
      <c r="JH71" s="35"/>
      <c r="JI71" s="35"/>
      <c r="JJ71" s="35"/>
      <c r="JK71" s="35"/>
      <c r="JL71" s="35"/>
      <c r="JM71" s="35"/>
      <c r="JN71" s="35"/>
      <c r="JO71" s="35"/>
      <c r="JP71" s="35"/>
      <c r="JQ71" s="35"/>
      <c r="JR71" s="35"/>
      <c r="JS71" s="35"/>
      <c r="JT71" s="35"/>
      <c r="JU71" s="35"/>
      <c r="JV71" s="35"/>
      <c r="JW71" s="35"/>
      <c r="JX71" s="35"/>
      <c r="JY71" s="35"/>
      <c r="JZ71" s="35"/>
      <c r="KA71" s="35"/>
      <c r="KB71" s="35"/>
      <c r="KC71" s="35"/>
      <c r="KD71" s="35"/>
      <c r="KE71" s="35"/>
      <c r="KF71" s="35"/>
      <c r="KG71" s="35"/>
      <c r="KH71" s="35"/>
      <c r="KI71" s="35"/>
      <c r="KJ71" s="35"/>
      <c r="KK71" s="35"/>
      <c r="KL71" s="35"/>
      <c r="KM71" s="35"/>
      <c r="KN71" s="35"/>
      <c r="KO71" s="35"/>
      <c r="KP71" s="35"/>
      <c r="KQ71" s="35"/>
      <c r="KR71" s="35"/>
      <c r="KS71" s="35"/>
      <c r="KT71" s="35"/>
      <c r="KU71" s="35"/>
      <c r="KV71" s="35"/>
      <c r="KW71" s="35"/>
      <c r="KX71" s="35"/>
      <c r="KY71" s="35"/>
      <c r="KZ71" s="35"/>
      <c r="LA71" s="35"/>
      <c r="LB71" s="35"/>
      <c r="LC71" s="35"/>
      <c r="LD71" s="35"/>
    </row>
    <row r="72" customFormat="false" ht="15" hidden="false" customHeight="false" outlineLevel="0" collapsed="false">
      <c r="A72" s="35" t="s">
        <v>210</v>
      </c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  <c r="IX72" s="35"/>
      <c r="IY72" s="35"/>
      <c r="IZ72" s="35"/>
      <c r="JA72" s="35"/>
      <c r="JB72" s="35"/>
      <c r="JC72" s="35"/>
      <c r="JD72" s="35"/>
      <c r="JE72" s="35"/>
      <c r="JF72" s="35"/>
      <c r="JG72" s="35"/>
      <c r="JH72" s="35"/>
      <c r="JI72" s="35"/>
      <c r="JJ72" s="35"/>
      <c r="JK72" s="35"/>
      <c r="JL72" s="35"/>
      <c r="JM72" s="35"/>
      <c r="JN72" s="35"/>
      <c r="JO72" s="35"/>
      <c r="JP72" s="35"/>
      <c r="JQ72" s="35"/>
      <c r="JR72" s="35"/>
      <c r="JS72" s="35"/>
      <c r="JT72" s="35"/>
      <c r="JU72" s="35"/>
      <c r="JV72" s="35"/>
      <c r="JW72" s="35"/>
      <c r="JX72" s="35"/>
      <c r="JY72" s="35"/>
      <c r="JZ72" s="35"/>
      <c r="KA72" s="35"/>
      <c r="KB72" s="35"/>
      <c r="KC72" s="35"/>
      <c r="KD72" s="35"/>
      <c r="KE72" s="35"/>
      <c r="KF72" s="35"/>
      <c r="KG72" s="35"/>
      <c r="KH72" s="35"/>
      <c r="KI72" s="35"/>
      <c r="KJ72" s="35"/>
      <c r="KK72" s="35"/>
      <c r="KL72" s="35"/>
      <c r="KM72" s="35"/>
      <c r="KN72" s="35"/>
      <c r="KO72" s="35"/>
      <c r="KP72" s="35"/>
      <c r="KQ72" s="35"/>
      <c r="KR72" s="35"/>
      <c r="KS72" s="35"/>
      <c r="KT72" s="35"/>
      <c r="KU72" s="35"/>
      <c r="KV72" s="35"/>
      <c r="KW72" s="35"/>
      <c r="KX72" s="35"/>
      <c r="KY72" s="35"/>
      <c r="KZ72" s="35"/>
      <c r="LA72" s="35"/>
      <c r="LB72" s="35"/>
      <c r="LC72" s="35"/>
      <c r="LD72" s="35"/>
    </row>
    <row r="73" customFormat="false" ht="15" hidden="false" customHeight="false" outlineLevel="0" collapsed="false">
      <c r="A73" s="35" t="s">
        <v>212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</row>
    <row r="74" customFormat="false" ht="15" hidden="false" customHeight="false" outlineLevel="0" collapsed="false">
      <c r="A74" s="35" t="s">
        <v>214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</row>
    <row r="75" customFormat="false" ht="15" hidden="false" customHeight="false" outlineLevel="0" collapsed="false">
      <c r="A75" s="35" t="s">
        <v>216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</row>
    <row r="76" customFormat="false" ht="15" hidden="false" customHeight="false" outlineLevel="0" collapsed="false">
      <c r="A76" s="35" t="s">
        <v>218</v>
      </c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</row>
    <row r="77" customFormat="false" ht="15" hidden="false" customHeight="false" outlineLevel="0" collapsed="false">
      <c r="A77" s="35" t="s">
        <v>220</v>
      </c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</row>
    <row r="78" customFormat="false" ht="15" hidden="false" customHeight="false" outlineLevel="0" collapsed="false">
      <c r="A78" s="35" t="s">
        <v>222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</row>
    <row r="79" customFormat="false" ht="15" hidden="false" customHeight="false" outlineLevel="0" collapsed="false">
      <c r="A79" s="35" t="s">
        <v>224</v>
      </c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</row>
    <row r="80" customFormat="false" ht="15" hidden="false" customHeight="false" outlineLevel="0" collapsed="false">
      <c r="A80" s="35" t="s">
        <v>226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</row>
    <row r="81" customFormat="false" ht="15" hidden="false" customHeight="false" outlineLevel="0" collapsed="false">
      <c r="A81" s="35" t="s">
        <v>228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</row>
    <row r="82" customFormat="false" ht="15" hidden="false" customHeight="false" outlineLevel="0" collapsed="false">
      <c r="A82" s="35" t="s">
        <v>230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</row>
    <row r="83" customFormat="false" ht="15" hidden="false" customHeight="false" outlineLevel="0" collapsed="false">
      <c r="A83" s="35" t="s">
        <v>232</v>
      </c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</row>
    <row r="84" customFormat="false" ht="15" hidden="false" customHeight="false" outlineLevel="0" collapsed="false">
      <c r="A84" s="35" t="s">
        <v>234</v>
      </c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</row>
    <row r="85" customFormat="false" ht="15" hidden="false" customHeight="false" outlineLevel="0" collapsed="false">
      <c r="A85" s="35" t="s">
        <v>236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</row>
    <row r="86" customFormat="false" ht="15" hidden="false" customHeight="false" outlineLevel="0" collapsed="false">
      <c r="A86" s="35" t="s">
        <v>238</v>
      </c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</row>
    <row r="87" customFormat="false" ht="15" hidden="false" customHeight="false" outlineLevel="0" collapsed="false">
      <c r="A87" s="35" t="s">
        <v>240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</row>
    <row r="88" customFormat="false" ht="15" hidden="false" customHeight="false" outlineLevel="0" collapsed="false">
      <c r="A88" s="35" t="s">
        <v>242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</row>
    <row r="89" customFormat="false" ht="15" hidden="false" customHeight="false" outlineLevel="0" collapsed="false">
      <c r="A89" s="35" t="s">
        <v>244</v>
      </c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</row>
    <row r="90" customFormat="false" ht="15" hidden="false" customHeight="false" outlineLevel="0" collapsed="false">
      <c r="A90" s="35" t="s">
        <v>246</v>
      </c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</row>
    <row r="91" customFormat="false" ht="15" hidden="false" customHeight="false" outlineLevel="0" collapsed="false">
      <c r="A91" s="35" t="s">
        <v>248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</row>
    <row r="92" customFormat="false" ht="15" hidden="false" customHeight="false" outlineLevel="0" collapsed="false">
      <c r="A92" s="35" t="s">
        <v>250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</row>
    <row r="93" customFormat="false" ht="15" hidden="false" customHeight="false" outlineLevel="0" collapsed="false">
      <c r="A93" s="35" t="s">
        <v>252</v>
      </c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</row>
    <row r="94" customFormat="false" ht="15" hidden="false" customHeight="false" outlineLevel="0" collapsed="false">
      <c r="A94" s="35" t="s">
        <v>254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</row>
    <row r="95" customFormat="false" ht="15" hidden="false" customHeight="false" outlineLevel="0" collapsed="false">
      <c r="A95" s="35" t="s">
        <v>256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</row>
    <row r="96" customFormat="false" ht="15" hidden="false" customHeight="false" outlineLevel="0" collapsed="false">
      <c r="A96" s="35" t="s">
        <v>258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</row>
    <row r="97" customFormat="false" ht="15" hidden="false" customHeight="false" outlineLevel="0" collapsed="false">
      <c r="A97" s="35" t="s">
        <v>260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</row>
    <row r="98" customFormat="false" ht="15" hidden="false" customHeight="false" outlineLevel="0" collapsed="false">
      <c r="A98" s="35" t="s">
        <v>262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</row>
    <row r="99" customFormat="false" ht="15" hidden="false" customHeight="false" outlineLevel="0" collapsed="false">
      <c r="A99" s="35" t="s">
        <v>264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</row>
    <row r="100" customFormat="false" ht="15" hidden="false" customHeight="false" outlineLevel="0" collapsed="false">
      <c r="A100" s="35" t="s">
        <v>266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</row>
    <row r="101" customFormat="false" ht="15" hidden="false" customHeight="false" outlineLevel="0" collapsed="false">
      <c r="A101" s="35" t="s">
        <v>268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</row>
    <row r="102" customFormat="false" ht="15" hidden="false" customHeight="false" outlineLevel="0" collapsed="false">
      <c r="A102" s="35" t="s">
        <v>270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</row>
    <row r="103" customFormat="false" ht="15" hidden="false" customHeight="false" outlineLevel="0" collapsed="false">
      <c r="A103" s="35" t="s">
        <v>272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</row>
    <row r="104" customFormat="false" ht="15" hidden="false" customHeight="false" outlineLevel="0" collapsed="false">
      <c r="A104" s="35" t="s">
        <v>274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</row>
    <row r="105" customFormat="false" ht="15" hidden="false" customHeight="false" outlineLevel="0" collapsed="false">
      <c r="A105" s="35" t="s">
        <v>276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</row>
    <row r="106" customFormat="false" ht="15" hidden="false" customHeight="false" outlineLevel="0" collapsed="false">
      <c r="A106" s="35" t="s">
        <v>278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</row>
    <row r="107" customFormat="false" ht="15" hidden="false" customHeight="false" outlineLevel="0" collapsed="false">
      <c r="A107" s="35" t="s">
        <v>280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</row>
    <row r="108" customFormat="false" ht="15" hidden="false" customHeight="false" outlineLevel="0" collapsed="false">
      <c r="A108" s="35" t="s">
        <v>282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</row>
    <row r="109" customFormat="false" ht="15" hidden="false" customHeight="false" outlineLevel="0" collapsed="false">
      <c r="A109" s="35" t="s">
        <v>284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</row>
    <row r="110" customFormat="false" ht="15" hidden="false" customHeight="false" outlineLevel="0" collapsed="false">
      <c r="A110" s="35" t="s">
        <v>286</v>
      </c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</row>
    <row r="111" customFormat="false" ht="15" hidden="false" customHeight="false" outlineLevel="0" collapsed="false">
      <c r="A111" s="35" t="s">
        <v>288</v>
      </c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</row>
    <row r="112" customFormat="false" ht="15" hidden="false" customHeight="false" outlineLevel="0" collapsed="false">
      <c r="A112" s="35" t="s">
        <v>290</v>
      </c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</row>
    <row r="113" customFormat="false" ht="15" hidden="false" customHeight="false" outlineLevel="0" collapsed="false">
      <c r="A113" s="35" t="s">
        <v>292</v>
      </c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</row>
    <row r="114" customFormat="false" ht="15" hidden="false" customHeight="false" outlineLevel="0" collapsed="false">
      <c r="A114" s="35" t="s">
        <v>294</v>
      </c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</row>
    <row r="115" customFormat="false" ht="15" hidden="false" customHeight="false" outlineLevel="0" collapsed="false">
      <c r="A115" s="35" t="s">
        <v>296</v>
      </c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</row>
    <row r="116" customFormat="false" ht="15" hidden="false" customHeight="false" outlineLevel="0" collapsed="false">
      <c r="A116" s="35" t="s">
        <v>298</v>
      </c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</row>
    <row r="117" customFormat="false" ht="15" hidden="false" customHeight="false" outlineLevel="0" collapsed="false">
      <c r="A117" s="35" t="s">
        <v>300</v>
      </c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</row>
    <row r="118" customFormat="false" ht="15" hidden="false" customHeight="false" outlineLevel="0" collapsed="false">
      <c r="A118" s="35" t="s">
        <v>302</v>
      </c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</row>
    <row r="119" customFormat="false" ht="15" hidden="false" customHeight="false" outlineLevel="0" collapsed="false">
      <c r="A119" s="35" t="s">
        <v>304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</row>
    <row r="120" customFormat="false" ht="15" hidden="false" customHeight="false" outlineLevel="0" collapsed="false">
      <c r="A120" s="35" t="s">
        <v>306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</row>
    <row r="121" customFormat="false" ht="15" hidden="false" customHeight="false" outlineLevel="0" collapsed="false">
      <c r="A121" s="35" t="s">
        <v>308</v>
      </c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</row>
    <row r="122" customFormat="false" ht="15" hidden="false" customHeight="false" outlineLevel="0" collapsed="false">
      <c r="A122" s="35" t="s">
        <v>310</v>
      </c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</row>
    <row r="123" customFormat="false" ht="15" hidden="false" customHeight="false" outlineLevel="0" collapsed="false">
      <c r="A123" s="35" t="s">
        <v>312</v>
      </c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</row>
    <row r="124" customFormat="false" ht="15" hidden="false" customHeight="false" outlineLevel="0" collapsed="false">
      <c r="A124" s="35" t="s">
        <v>314</v>
      </c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</row>
    <row r="125" customFormat="false" ht="15" hidden="false" customHeight="false" outlineLevel="0" collapsed="false">
      <c r="A125" s="35" t="s">
        <v>316</v>
      </c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</row>
    <row r="126" customFormat="false" ht="15" hidden="false" customHeight="false" outlineLevel="0" collapsed="false">
      <c r="A126" s="35" t="s">
        <v>318</v>
      </c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</row>
    <row r="127" customFormat="false" ht="15" hidden="false" customHeight="false" outlineLevel="0" collapsed="false">
      <c r="A127" s="35" t="s">
        <v>320</v>
      </c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</row>
    <row r="128" customFormat="false" ht="15" hidden="false" customHeight="false" outlineLevel="0" collapsed="false">
      <c r="A128" s="35" t="s">
        <v>322</v>
      </c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</row>
    <row r="129" customFormat="false" ht="15" hidden="false" customHeight="false" outlineLevel="0" collapsed="false">
      <c r="A129" s="35" t="s">
        <v>324</v>
      </c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</row>
    <row r="130" customFormat="false" ht="15" hidden="false" customHeight="false" outlineLevel="0" collapsed="false">
      <c r="A130" s="35" t="s">
        <v>326</v>
      </c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</row>
    <row r="131" customFormat="false" ht="15" hidden="false" customHeight="false" outlineLevel="0" collapsed="false">
      <c r="A131" s="35" t="s">
        <v>328</v>
      </c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</row>
    <row r="132" customFormat="false" ht="15" hidden="false" customHeight="false" outlineLevel="0" collapsed="false">
      <c r="A132" s="35" t="s">
        <v>330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</row>
    <row r="133" customFormat="false" ht="15" hidden="false" customHeight="false" outlineLevel="0" collapsed="false">
      <c r="A133" s="35" t="s">
        <v>332</v>
      </c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</row>
    <row r="134" customFormat="false" ht="15" hidden="false" customHeight="false" outlineLevel="0" collapsed="false">
      <c r="A134" s="35" t="s">
        <v>334</v>
      </c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5"/>
      <c r="HE134" s="35"/>
      <c r="HF134" s="35"/>
      <c r="HG134" s="35"/>
      <c r="HH134" s="35"/>
      <c r="HI134" s="35"/>
      <c r="HJ134" s="35"/>
      <c r="HK134" s="35"/>
      <c r="HL134" s="35"/>
      <c r="HM134" s="35"/>
      <c r="HN134" s="35"/>
      <c r="HO134" s="35"/>
      <c r="HP134" s="35"/>
      <c r="HQ134" s="35"/>
      <c r="HR134" s="35"/>
      <c r="HS134" s="35"/>
      <c r="HT134" s="35"/>
      <c r="HU134" s="35"/>
      <c r="HV134" s="35"/>
      <c r="HW134" s="35"/>
      <c r="HX134" s="35"/>
      <c r="HY134" s="35"/>
      <c r="HZ134" s="35"/>
      <c r="IA134" s="35"/>
      <c r="IB134" s="35"/>
      <c r="IC134" s="35"/>
      <c r="ID134" s="35"/>
      <c r="IE134" s="35"/>
      <c r="IF134" s="35"/>
      <c r="IG134" s="35"/>
      <c r="IH134" s="35"/>
      <c r="II134" s="35"/>
      <c r="IJ134" s="35"/>
      <c r="IK134" s="35"/>
      <c r="IL134" s="35"/>
      <c r="IM134" s="35"/>
      <c r="IN134" s="35"/>
      <c r="IO134" s="35"/>
      <c r="IP134" s="35"/>
      <c r="IQ134" s="35"/>
      <c r="IR134" s="35"/>
      <c r="IS134" s="35"/>
      <c r="IT134" s="35"/>
      <c r="IU134" s="35"/>
      <c r="IV134" s="35"/>
      <c r="IW134" s="35"/>
      <c r="IX134" s="35"/>
      <c r="IY134" s="35"/>
      <c r="IZ134" s="35"/>
      <c r="JA134" s="35"/>
      <c r="JB134" s="35"/>
      <c r="JC134" s="35"/>
      <c r="JD134" s="35"/>
      <c r="JE134" s="35"/>
      <c r="JF134" s="35"/>
      <c r="JG134" s="35"/>
      <c r="JH134" s="35"/>
      <c r="JI134" s="35"/>
      <c r="JJ134" s="35"/>
      <c r="JK134" s="35"/>
      <c r="JL134" s="35"/>
      <c r="JM134" s="35"/>
      <c r="JN134" s="35"/>
      <c r="JO134" s="35"/>
      <c r="JP134" s="35"/>
      <c r="JQ134" s="35"/>
      <c r="JR134" s="35"/>
      <c r="JS134" s="35"/>
      <c r="JT134" s="35"/>
      <c r="JU134" s="35"/>
      <c r="JV134" s="35"/>
      <c r="JW134" s="35"/>
      <c r="JX134" s="35"/>
      <c r="JY134" s="35"/>
      <c r="JZ134" s="35"/>
      <c r="KA134" s="35"/>
      <c r="KB134" s="35"/>
      <c r="KC134" s="35"/>
      <c r="KD134" s="35"/>
      <c r="KE134" s="35"/>
      <c r="KF134" s="35"/>
      <c r="KG134" s="35"/>
      <c r="KH134" s="35"/>
      <c r="KI134" s="35"/>
      <c r="KJ134" s="35"/>
      <c r="KK134" s="35"/>
      <c r="KL134" s="35"/>
      <c r="KM134" s="35"/>
      <c r="KN134" s="35"/>
      <c r="KO134" s="35"/>
      <c r="KP134" s="35"/>
      <c r="KQ134" s="35"/>
      <c r="KR134" s="35"/>
      <c r="KS134" s="35"/>
      <c r="KT134" s="35"/>
      <c r="KU134" s="35"/>
      <c r="KV134" s="35"/>
      <c r="KW134" s="35"/>
      <c r="KX134" s="35"/>
      <c r="KY134" s="35"/>
      <c r="KZ134" s="35"/>
      <c r="LA134" s="35"/>
      <c r="LB134" s="35"/>
      <c r="LC134" s="35"/>
      <c r="LD134" s="35"/>
    </row>
    <row r="135" customFormat="false" ht="15" hidden="false" customHeight="false" outlineLevel="0" collapsed="false">
      <c r="A135" s="35" t="s">
        <v>336</v>
      </c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5"/>
      <c r="HE135" s="35"/>
      <c r="HF135" s="35"/>
      <c r="HG135" s="35"/>
      <c r="HH135" s="35"/>
      <c r="HI135" s="35"/>
      <c r="HJ135" s="35"/>
      <c r="HK135" s="35"/>
      <c r="HL135" s="35"/>
      <c r="HM135" s="35"/>
      <c r="HN135" s="35"/>
      <c r="HO135" s="35"/>
      <c r="HP135" s="35"/>
      <c r="HQ135" s="35"/>
      <c r="HR135" s="35"/>
      <c r="HS135" s="35"/>
      <c r="HT135" s="35"/>
      <c r="HU135" s="35"/>
      <c r="HV135" s="35"/>
      <c r="HW135" s="35"/>
      <c r="HX135" s="35"/>
      <c r="HY135" s="35"/>
      <c r="HZ135" s="35"/>
      <c r="IA135" s="35"/>
      <c r="IB135" s="35"/>
      <c r="IC135" s="35"/>
      <c r="ID135" s="35"/>
      <c r="IE135" s="35"/>
      <c r="IF135" s="35"/>
      <c r="IG135" s="35"/>
      <c r="IH135" s="35"/>
      <c r="II135" s="35"/>
      <c r="IJ135" s="35"/>
      <c r="IK135" s="35"/>
      <c r="IL135" s="35"/>
      <c r="IM135" s="35"/>
      <c r="IN135" s="35"/>
      <c r="IO135" s="35"/>
      <c r="IP135" s="35"/>
      <c r="IQ135" s="35"/>
      <c r="IR135" s="35"/>
      <c r="IS135" s="35"/>
      <c r="IT135" s="35"/>
      <c r="IU135" s="35"/>
      <c r="IV135" s="35"/>
      <c r="IW135" s="35"/>
      <c r="IX135" s="35"/>
      <c r="IY135" s="35"/>
      <c r="IZ135" s="35"/>
      <c r="JA135" s="35"/>
      <c r="JB135" s="35"/>
      <c r="JC135" s="35"/>
      <c r="JD135" s="35"/>
      <c r="JE135" s="35"/>
      <c r="JF135" s="35"/>
      <c r="JG135" s="35"/>
      <c r="JH135" s="35"/>
      <c r="JI135" s="35"/>
      <c r="JJ135" s="35"/>
      <c r="JK135" s="35"/>
      <c r="JL135" s="35"/>
      <c r="JM135" s="35"/>
      <c r="JN135" s="35"/>
      <c r="JO135" s="35"/>
      <c r="JP135" s="35"/>
      <c r="JQ135" s="35"/>
      <c r="JR135" s="35"/>
      <c r="JS135" s="35"/>
      <c r="JT135" s="35"/>
      <c r="JU135" s="35"/>
      <c r="JV135" s="35"/>
      <c r="JW135" s="35"/>
      <c r="JX135" s="35"/>
      <c r="JY135" s="35"/>
      <c r="JZ135" s="35"/>
      <c r="KA135" s="35"/>
      <c r="KB135" s="35"/>
      <c r="KC135" s="35"/>
      <c r="KD135" s="35"/>
      <c r="KE135" s="35"/>
      <c r="KF135" s="35"/>
      <c r="KG135" s="35"/>
      <c r="KH135" s="35"/>
      <c r="KI135" s="35"/>
      <c r="KJ135" s="35"/>
      <c r="KK135" s="35"/>
      <c r="KL135" s="35"/>
      <c r="KM135" s="35"/>
      <c r="KN135" s="35"/>
      <c r="KO135" s="35"/>
      <c r="KP135" s="35"/>
      <c r="KQ135" s="35"/>
      <c r="KR135" s="35"/>
      <c r="KS135" s="35"/>
      <c r="KT135" s="35"/>
      <c r="KU135" s="35"/>
      <c r="KV135" s="35"/>
      <c r="KW135" s="35"/>
      <c r="KX135" s="35"/>
      <c r="KY135" s="35"/>
      <c r="KZ135" s="35"/>
      <c r="LA135" s="35"/>
      <c r="LB135" s="35"/>
      <c r="LC135" s="35"/>
      <c r="LD135" s="35"/>
    </row>
    <row r="136" customFormat="false" ht="15" hidden="false" customHeight="false" outlineLevel="0" collapsed="false">
      <c r="A136" s="35" t="s">
        <v>338</v>
      </c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L136" s="35"/>
      <c r="HM136" s="35"/>
      <c r="HN136" s="35"/>
      <c r="HO136" s="35"/>
      <c r="HP136" s="35"/>
      <c r="HQ136" s="35"/>
      <c r="HR136" s="35"/>
      <c r="HS136" s="35"/>
      <c r="HT136" s="35"/>
      <c r="HU136" s="35"/>
      <c r="HV136" s="35"/>
      <c r="HW136" s="35"/>
      <c r="HX136" s="35"/>
      <c r="HY136" s="35"/>
      <c r="HZ136" s="35"/>
      <c r="IA136" s="35"/>
      <c r="IB136" s="35"/>
      <c r="IC136" s="35"/>
      <c r="ID136" s="35"/>
      <c r="IE136" s="35"/>
      <c r="IF136" s="35"/>
      <c r="IG136" s="35"/>
      <c r="IH136" s="35"/>
      <c r="II136" s="35"/>
      <c r="IJ136" s="35"/>
      <c r="IK136" s="35"/>
      <c r="IL136" s="35"/>
      <c r="IM136" s="35"/>
      <c r="IN136" s="35"/>
      <c r="IO136" s="35"/>
      <c r="IP136" s="35"/>
      <c r="IQ136" s="35"/>
      <c r="IR136" s="35"/>
      <c r="IS136" s="35"/>
      <c r="IT136" s="35"/>
      <c r="IU136" s="35"/>
      <c r="IV136" s="35"/>
      <c r="IW136" s="35"/>
      <c r="IX136" s="35"/>
      <c r="IY136" s="35"/>
      <c r="IZ136" s="35"/>
      <c r="JA136" s="35"/>
      <c r="JB136" s="35"/>
      <c r="JC136" s="35"/>
      <c r="JD136" s="35"/>
      <c r="JE136" s="35"/>
      <c r="JF136" s="35"/>
      <c r="JG136" s="35"/>
      <c r="JH136" s="35"/>
      <c r="JI136" s="35"/>
      <c r="JJ136" s="35"/>
      <c r="JK136" s="35"/>
      <c r="JL136" s="35"/>
      <c r="JM136" s="35"/>
      <c r="JN136" s="35"/>
      <c r="JO136" s="35"/>
      <c r="JP136" s="35"/>
      <c r="JQ136" s="35"/>
      <c r="JR136" s="35"/>
      <c r="JS136" s="35"/>
      <c r="JT136" s="35"/>
      <c r="JU136" s="35"/>
      <c r="JV136" s="35"/>
      <c r="JW136" s="35"/>
      <c r="JX136" s="35"/>
      <c r="JY136" s="35"/>
      <c r="JZ136" s="35"/>
      <c r="KA136" s="35"/>
      <c r="KB136" s="35"/>
      <c r="KC136" s="35"/>
      <c r="KD136" s="35"/>
      <c r="KE136" s="35"/>
      <c r="KF136" s="35"/>
      <c r="KG136" s="35"/>
      <c r="KH136" s="35"/>
      <c r="KI136" s="35"/>
      <c r="KJ136" s="35"/>
      <c r="KK136" s="35"/>
      <c r="KL136" s="35"/>
      <c r="KM136" s="35"/>
      <c r="KN136" s="35"/>
      <c r="KO136" s="35"/>
      <c r="KP136" s="35"/>
      <c r="KQ136" s="35"/>
      <c r="KR136" s="35"/>
      <c r="KS136" s="35"/>
      <c r="KT136" s="35"/>
      <c r="KU136" s="35"/>
      <c r="KV136" s="35"/>
      <c r="KW136" s="35"/>
      <c r="KX136" s="35"/>
      <c r="KY136" s="35"/>
      <c r="KZ136" s="35"/>
      <c r="LA136" s="35"/>
      <c r="LB136" s="35"/>
      <c r="LC136" s="35"/>
      <c r="LD136" s="35"/>
    </row>
    <row r="137" customFormat="false" ht="15" hidden="false" customHeight="false" outlineLevel="0" collapsed="false">
      <c r="A137" s="35" t="s">
        <v>340</v>
      </c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  <c r="HM137" s="35"/>
      <c r="HN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35"/>
      <c r="IS137" s="35"/>
      <c r="IT137" s="35"/>
      <c r="IU137" s="35"/>
      <c r="IV137" s="35"/>
      <c r="IW137" s="35"/>
      <c r="IX137" s="35"/>
      <c r="IY137" s="35"/>
      <c r="IZ137" s="35"/>
      <c r="JA137" s="35"/>
      <c r="JB137" s="35"/>
      <c r="JC137" s="35"/>
      <c r="JD137" s="35"/>
      <c r="JE137" s="35"/>
      <c r="JF137" s="35"/>
      <c r="JG137" s="35"/>
      <c r="JH137" s="35"/>
      <c r="JI137" s="35"/>
      <c r="JJ137" s="35"/>
      <c r="JK137" s="35"/>
      <c r="JL137" s="35"/>
      <c r="JM137" s="35"/>
      <c r="JN137" s="35"/>
      <c r="JO137" s="35"/>
      <c r="JP137" s="35"/>
      <c r="JQ137" s="35"/>
      <c r="JR137" s="35"/>
      <c r="JS137" s="35"/>
      <c r="JT137" s="35"/>
      <c r="JU137" s="35"/>
      <c r="JV137" s="35"/>
      <c r="JW137" s="35"/>
      <c r="JX137" s="35"/>
      <c r="JY137" s="35"/>
      <c r="JZ137" s="35"/>
      <c r="KA137" s="35"/>
      <c r="KB137" s="35"/>
      <c r="KC137" s="35"/>
      <c r="KD137" s="35"/>
      <c r="KE137" s="35"/>
      <c r="KF137" s="35"/>
      <c r="KG137" s="35"/>
      <c r="KH137" s="35"/>
      <c r="KI137" s="35"/>
      <c r="KJ137" s="35"/>
      <c r="KK137" s="35"/>
      <c r="KL137" s="35"/>
      <c r="KM137" s="35"/>
      <c r="KN137" s="35"/>
      <c r="KO137" s="35"/>
      <c r="KP137" s="35"/>
      <c r="KQ137" s="35"/>
      <c r="KR137" s="35"/>
      <c r="KS137" s="35"/>
      <c r="KT137" s="35"/>
      <c r="KU137" s="35"/>
      <c r="KV137" s="35"/>
      <c r="KW137" s="35"/>
      <c r="KX137" s="35"/>
      <c r="KY137" s="35"/>
      <c r="KZ137" s="35"/>
      <c r="LA137" s="35"/>
      <c r="LB137" s="35"/>
      <c r="LC137" s="35"/>
      <c r="LD137" s="35"/>
    </row>
    <row r="138" customFormat="false" ht="15" hidden="false" customHeight="false" outlineLevel="0" collapsed="false">
      <c r="A138" s="35" t="s">
        <v>342</v>
      </c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L138" s="35"/>
      <c r="HM138" s="35"/>
      <c r="HN138" s="35"/>
      <c r="HO138" s="35"/>
      <c r="HP138" s="35"/>
      <c r="HQ138" s="35"/>
      <c r="HR138" s="35"/>
      <c r="HS138" s="35"/>
      <c r="HT138" s="35"/>
      <c r="HU138" s="35"/>
      <c r="HV138" s="35"/>
      <c r="HW138" s="35"/>
      <c r="HX138" s="35"/>
      <c r="HY138" s="35"/>
      <c r="HZ138" s="35"/>
      <c r="IA138" s="35"/>
      <c r="IB138" s="35"/>
      <c r="IC138" s="35"/>
      <c r="ID138" s="35"/>
      <c r="IE138" s="35"/>
      <c r="IF138" s="35"/>
      <c r="IG138" s="35"/>
      <c r="IH138" s="35"/>
      <c r="II138" s="35"/>
      <c r="IJ138" s="35"/>
      <c r="IK138" s="35"/>
      <c r="IL138" s="35"/>
      <c r="IM138" s="35"/>
      <c r="IN138" s="35"/>
      <c r="IO138" s="35"/>
      <c r="IP138" s="35"/>
      <c r="IQ138" s="35"/>
      <c r="IR138" s="35"/>
      <c r="IS138" s="35"/>
      <c r="IT138" s="35"/>
      <c r="IU138" s="35"/>
      <c r="IV138" s="35"/>
      <c r="IW138" s="35"/>
      <c r="IX138" s="35"/>
      <c r="IY138" s="35"/>
      <c r="IZ138" s="35"/>
      <c r="JA138" s="35"/>
      <c r="JB138" s="35"/>
      <c r="JC138" s="35"/>
      <c r="JD138" s="35"/>
      <c r="JE138" s="35"/>
      <c r="JF138" s="35"/>
      <c r="JG138" s="35"/>
      <c r="JH138" s="35"/>
      <c r="JI138" s="35"/>
      <c r="JJ138" s="35"/>
      <c r="JK138" s="35"/>
      <c r="JL138" s="35"/>
      <c r="JM138" s="35"/>
      <c r="JN138" s="35"/>
      <c r="JO138" s="35"/>
      <c r="JP138" s="35"/>
      <c r="JQ138" s="35"/>
      <c r="JR138" s="35"/>
      <c r="JS138" s="35"/>
      <c r="JT138" s="35"/>
      <c r="JU138" s="35"/>
      <c r="JV138" s="35"/>
      <c r="JW138" s="35"/>
      <c r="JX138" s="35"/>
      <c r="JY138" s="35"/>
      <c r="JZ138" s="35"/>
      <c r="KA138" s="35"/>
      <c r="KB138" s="35"/>
      <c r="KC138" s="35"/>
      <c r="KD138" s="35"/>
      <c r="KE138" s="35"/>
      <c r="KF138" s="35"/>
      <c r="KG138" s="35"/>
      <c r="KH138" s="35"/>
      <c r="KI138" s="35"/>
      <c r="KJ138" s="35"/>
      <c r="KK138" s="35"/>
      <c r="KL138" s="35"/>
      <c r="KM138" s="35"/>
      <c r="KN138" s="35"/>
      <c r="KO138" s="35"/>
      <c r="KP138" s="35"/>
      <c r="KQ138" s="35"/>
      <c r="KR138" s="35"/>
      <c r="KS138" s="35"/>
      <c r="KT138" s="35"/>
      <c r="KU138" s="35"/>
      <c r="KV138" s="35"/>
      <c r="KW138" s="35"/>
      <c r="KX138" s="35"/>
      <c r="KY138" s="35"/>
      <c r="KZ138" s="35"/>
      <c r="LA138" s="35"/>
      <c r="LB138" s="35"/>
      <c r="LC138" s="35"/>
      <c r="LD138" s="35"/>
    </row>
    <row r="139" customFormat="false" ht="15" hidden="false" customHeight="false" outlineLevel="0" collapsed="false">
      <c r="A139" s="35" t="s">
        <v>344</v>
      </c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35"/>
      <c r="EA139" s="35"/>
      <c r="EB139" s="35"/>
      <c r="EC139" s="35"/>
      <c r="ED139" s="35"/>
      <c r="EE139" s="35"/>
      <c r="EF139" s="35"/>
      <c r="EG139" s="35"/>
      <c r="EH139" s="35"/>
      <c r="EI139" s="35"/>
      <c r="EJ139" s="35"/>
      <c r="EK139" s="35"/>
      <c r="EL139" s="35"/>
      <c r="EM139" s="35"/>
      <c r="EN139" s="35"/>
      <c r="EO139" s="35"/>
      <c r="EP139" s="35"/>
      <c r="EQ139" s="35"/>
      <c r="ER139" s="35"/>
      <c r="ES139" s="35"/>
      <c r="ET139" s="35"/>
      <c r="EU139" s="35"/>
      <c r="EV139" s="35"/>
      <c r="EW139" s="35"/>
      <c r="EX139" s="35"/>
      <c r="EY139" s="35"/>
      <c r="EZ139" s="35"/>
      <c r="FA139" s="35"/>
      <c r="FB139" s="35"/>
      <c r="FC139" s="35"/>
      <c r="FD139" s="35"/>
      <c r="FE139" s="35"/>
      <c r="FF139" s="35"/>
      <c r="FG139" s="35"/>
      <c r="FH139" s="35"/>
      <c r="FI139" s="35"/>
      <c r="FJ139" s="35"/>
      <c r="FK139" s="35"/>
      <c r="FL139" s="35"/>
      <c r="FM139" s="35"/>
      <c r="FN139" s="35"/>
      <c r="FO139" s="35"/>
      <c r="FP139" s="35"/>
      <c r="FQ139" s="35"/>
      <c r="FR139" s="35"/>
      <c r="FS139" s="35"/>
      <c r="FT139" s="35"/>
      <c r="FU139" s="35"/>
      <c r="FV139" s="35"/>
      <c r="FW139" s="35"/>
      <c r="FX139" s="35"/>
      <c r="FY139" s="35"/>
      <c r="FZ139" s="35"/>
      <c r="GA139" s="35"/>
      <c r="GB139" s="35"/>
      <c r="GC139" s="35"/>
      <c r="GD139" s="35"/>
      <c r="GE139" s="35"/>
      <c r="GF139" s="35"/>
      <c r="GG139" s="35"/>
      <c r="GH139" s="35"/>
      <c r="GI139" s="35"/>
      <c r="GJ139" s="35"/>
      <c r="GK139" s="35"/>
      <c r="GL139" s="35"/>
      <c r="GM139" s="35"/>
      <c r="GN139" s="35"/>
      <c r="GO139" s="35"/>
      <c r="GP139" s="35"/>
      <c r="GQ139" s="35"/>
      <c r="GR139" s="35"/>
      <c r="GS139" s="35"/>
      <c r="GT139" s="35"/>
      <c r="GU139" s="35"/>
      <c r="GV139" s="35"/>
      <c r="GW139" s="35"/>
      <c r="GX139" s="35"/>
      <c r="GY139" s="35"/>
      <c r="GZ139" s="35"/>
      <c r="HA139" s="35"/>
      <c r="HB139" s="35"/>
      <c r="HC139" s="35"/>
      <c r="HD139" s="35"/>
      <c r="HE139" s="35"/>
      <c r="HF139" s="35"/>
      <c r="HG139" s="35"/>
      <c r="HH139" s="35"/>
      <c r="HI139" s="35"/>
      <c r="HJ139" s="35"/>
      <c r="HK139" s="35"/>
      <c r="HL139" s="35"/>
      <c r="HM139" s="35"/>
      <c r="HN139" s="35"/>
      <c r="HO139" s="35"/>
      <c r="HP139" s="35"/>
      <c r="HQ139" s="35"/>
      <c r="HR139" s="35"/>
      <c r="HS139" s="35"/>
      <c r="HT139" s="35"/>
      <c r="HU139" s="35"/>
      <c r="HV139" s="35"/>
      <c r="HW139" s="35"/>
      <c r="HX139" s="35"/>
      <c r="HY139" s="35"/>
      <c r="HZ139" s="35"/>
      <c r="IA139" s="35"/>
      <c r="IB139" s="35"/>
      <c r="IC139" s="35"/>
      <c r="ID139" s="35"/>
      <c r="IE139" s="35"/>
      <c r="IF139" s="35"/>
      <c r="IG139" s="35"/>
      <c r="IH139" s="35"/>
      <c r="II139" s="35"/>
      <c r="IJ139" s="35"/>
      <c r="IK139" s="35"/>
      <c r="IL139" s="35"/>
      <c r="IM139" s="35"/>
      <c r="IN139" s="35"/>
      <c r="IO139" s="35"/>
      <c r="IP139" s="35"/>
      <c r="IQ139" s="35"/>
      <c r="IR139" s="35"/>
      <c r="IS139" s="35"/>
      <c r="IT139" s="35"/>
      <c r="IU139" s="35"/>
      <c r="IV139" s="35"/>
      <c r="IW139" s="35"/>
      <c r="IX139" s="35"/>
      <c r="IY139" s="35"/>
      <c r="IZ139" s="35"/>
      <c r="JA139" s="35"/>
      <c r="JB139" s="35"/>
      <c r="JC139" s="35"/>
      <c r="JD139" s="35"/>
      <c r="JE139" s="35"/>
      <c r="JF139" s="35"/>
      <c r="JG139" s="35"/>
      <c r="JH139" s="35"/>
      <c r="JI139" s="35"/>
      <c r="JJ139" s="35"/>
      <c r="JK139" s="35"/>
      <c r="JL139" s="35"/>
      <c r="JM139" s="35"/>
      <c r="JN139" s="35"/>
      <c r="JO139" s="35"/>
      <c r="JP139" s="35"/>
      <c r="JQ139" s="35"/>
      <c r="JR139" s="35"/>
      <c r="JS139" s="35"/>
      <c r="JT139" s="35"/>
      <c r="JU139" s="35"/>
      <c r="JV139" s="35"/>
      <c r="JW139" s="35"/>
      <c r="JX139" s="35"/>
      <c r="JY139" s="35"/>
      <c r="JZ139" s="35"/>
      <c r="KA139" s="35"/>
      <c r="KB139" s="35"/>
      <c r="KC139" s="35"/>
      <c r="KD139" s="35"/>
      <c r="KE139" s="35"/>
      <c r="KF139" s="35"/>
      <c r="KG139" s="35"/>
      <c r="KH139" s="35"/>
      <c r="KI139" s="35"/>
      <c r="KJ139" s="35"/>
      <c r="KK139" s="35"/>
      <c r="KL139" s="35"/>
      <c r="KM139" s="35"/>
      <c r="KN139" s="35"/>
      <c r="KO139" s="35"/>
      <c r="KP139" s="35"/>
      <c r="KQ139" s="35"/>
      <c r="KR139" s="35"/>
      <c r="KS139" s="35"/>
      <c r="KT139" s="35"/>
      <c r="KU139" s="35"/>
      <c r="KV139" s="35"/>
      <c r="KW139" s="35"/>
      <c r="KX139" s="35"/>
      <c r="KY139" s="35"/>
      <c r="KZ139" s="35"/>
      <c r="LA139" s="35"/>
      <c r="LB139" s="35"/>
      <c r="LC139" s="35"/>
      <c r="LD139" s="35"/>
    </row>
    <row r="140" customFormat="false" ht="15" hidden="false" customHeight="false" outlineLevel="0" collapsed="false">
      <c r="A140" s="35" t="s">
        <v>346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  <c r="AW140" s="35"/>
      <c r="AX140" s="35"/>
      <c r="AY140" s="35"/>
      <c r="AZ140" s="35"/>
      <c r="BA140" s="35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  <c r="DL140" s="35"/>
      <c r="DM140" s="35"/>
      <c r="DN140" s="35"/>
      <c r="DO140" s="35"/>
      <c r="DP140" s="35"/>
      <c r="DQ140" s="35"/>
      <c r="DR140" s="35"/>
      <c r="DS140" s="35"/>
      <c r="DT140" s="35"/>
      <c r="DU140" s="35"/>
      <c r="DV140" s="35"/>
      <c r="DW140" s="35"/>
      <c r="DX140" s="35"/>
      <c r="DY140" s="35"/>
      <c r="DZ140" s="35"/>
      <c r="EA140" s="35"/>
      <c r="EB140" s="35"/>
      <c r="EC140" s="35"/>
      <c r="ED140" s="35"/>
      <c r="EE140" s="35"/>
      <c r="EF140" s="35"/>
      <c r="EG140" s="35"/>
      <c r="EH140" s="35"/>
      <c r="EI140" s="35"/>
      <c r="EJ140" s="35"/>
      <c r="EK140" s="35"/>
      <c r="EL140" s="35"/>
      <c r="EM140" s="35"/>
      <c r="EN140" s="35"/>
      <c r="EO140" s="35"/>
      <c r="EP140" s="35"/>
      <c r="EQ140" s="35"/>
      <c r="ER140" s="35"/>
      <c r="ES140" s="35"/>
      <c r="ET140" s="35"/>
      <c r="EU140" s="35"/>
      <c r="EV140" s="35"/>
      <c r="EW140" s="35"/>
      <c r="EX140" s="35"/>
      <c r="EY140" s="35"/>
      <c r="EZ140" s="35"/>
      <c r="FA140" s="35"/>
      <c r="FB140" s="35"/>
      <c r="FC140" s="35"/>
      <c r="FD140" s="35"/>
      <c r="FE140" s="35"/>
      <c r="FF140" s="35"/>
      <c r="FG140" s="35"/>
      <c r="FH140" s="35"/>
      <c r="FI140" s="35"/>
      <c r="FJ140" s="35"/>
      <c r="FK140" s="35"/>
      <c r="FL140" s="35"/>
      <c r="FM140" s="35"/>
      <c r="FN140" s="35"/>
      <c r="FO140" s="35"/>
      <c r="FP140" s="35"/>
      <c r="FQ140" s="35"/>
      <c r="FR140" s="35"/>
      <c r="FS140" s="35"/>
      <c r="FT140" s="35"/>
      <c r="FU140" s="35"/>
      <c r="FV140" s="35"/>
      <c r="FW140" s="35"/>
      <c r="FX140" s="35"/>
      <c r="FY140" s="35"/>
      <c r="FZ140" s="35"/>
      <c r="GA140" s="35"/>
      <c r="GB140" s="35"/>
      <c r="GC140" s="35"/>
      <c r="GD140" s="35"/>
      <c r="GE140" s="35"/>
      <c r="GF140" s="35"/>
      <c r="GG140" s="35"/>
      <c r="GH140" s="35"/>
      <c r="GI140" s="35"/>
      <c r="GJ140" s="35"/>
      <c r="GK140" s="35"/>
      <c r="GL140" s="35"/>
      <c r="GM140" s="35"/>
      <c r="GN140" s="35"/>
      <c r="GO140" s="35"/>
      <c r="GP140" s="35"/>
      <c r="GQ140" s="35"/>
      <c r="GR140" s="35"/>
      <c r="GS140" s="35"/>
      <c r="GT140" s="35"/>
      <c r="GU140" s="35"/>
      <c r="GV140" s="35"/>
      <c r="GW140" s="35"/>
      <c r="GX140" s="35"/>
      <c r="GY140" s="35"/>
      <c r="GZ140" s="35"/>
      <c r="HA140" s="35"/>
      <c r="HB140" s="35"/>
      <c r="HC140" s="35"/>
      <c r="HD140" s="35"/>
      <c r="HE140" s="35"/>
      <c r="HF140" s="35"/>
      <c r="HG140" s="35"/>
      <c r="HH140" s="35"/>
      <c r="HI140" s="35"/>
      <c r="HJ140" s="35"/>
      <c r="HK140" s="35"/>
      <c r="HL140" s="35"/>
      <c r="HM140" s="35"/>
      <c r="HN140" s="35"/>
      <c r="HO140" s="35"/>
      <c r="HP140" s="35"/>
      <c r="HQ140" s="35"/>
      <c r="HR140" s="35"/>
      <c r="HS140" s="35"/>
      <c r="HT140" s="35"/>
      <c r="HU140" s="35"/>
      <c r="HV140" s="35"/>
      <c r="HW140" s="35"/>
      <c r="HX140" s="35"/>
      <c r="HY140" s="35"/>
      <c r="HZ140" s="35"/>
      <c r="IA140" s="35"/>
      <c r="IB140" s="35"/>
      <c r="IC140" s="35"/>
      <c r="ID140" s="35"/>
      <c r="IE140" s="35"/>
      <c r="IF140" s="35"/>
      <c r="IG140" s="35"/>
      <c r="IH140" s="35"/>
      <c r="II140" s="35"/>
      <c r="IJ140" s="35"/>
      <c r="IK140" s="35"/>
      <c r="IL140" s="35"/>
      <c r="IM140" s="35"/>
      <c r="IN140" s="35"/>
      <c r="IO140" s="35"/>
      <c r="IP140" s="35"/>
      <c r="IQ140" s="35"/>
      <c r="IR140" s="35"/>
      <c r="IS140" s="35"/>
      <c r="IT140" s="35"/>
      <c r="IU140" s="35"/>
      <c r="IV140" s="35"/>
      <c r="IW140" s="35"/>
      <c r="IX140" s="35"/>
      <c r="IY140" s="35"/>
      <c r="IZ140" s="35"/>
      <c r="JA140" s="35"/>
      <c r="JB140" s="35"/>
      <c r="JC140" s="35"/>
      <c r="JD140" s="35"/>
      <c r="JE140" s="35"/>
      <c r="JF140" s="35"/>
      <c r="JG140" s="35"/>
      <c r="JH140" s="35"/>
      <c r="JI140" s="35"/>
      <c r="JJ140" s="35"/>
      <c r="JK140" s="35"/>
      <c r="JL140" s="35"/>
      <c r="JM140" s="35"/>
      <c r="JN140" s="35"/>
      <c r="JO140" s="35"/>
      <c r="JP140" s="35"/>
      <c r="JQ140" s="35"/>
      <c r="JR140" s="35"/>
      <c r="JS140" s="35"/>
      <c r="JT140" s="35"/>
      <c r="JU140" s="35"/>
      <c r="JV140" s="35"/>
      <c r="JW140" s="35"/>
      <c r="JX140" s="35"/>
      <c r="JY140" s="35"/>
      <c r="JZ140" s="35"/>
      <c r="KA140" s="35"/>
      <c r="KB140" s="35"/>
      <c r="KC140" s="35"/>
      <c r="KD140" s="35"/>
      <c r="KE140" s="35"/>
      <c r="KF140" s="35"/>
      <c r="KG140" s="35"/>
      <c r="KH140" s="35"/>
      <c r="KI140" s="35"/>
      <c r="KJ140" s="35"/>
      <c r="KK140" s="35"/>
      <c r="KL140" s="35"/>
      <c r="KM140" s="35"/>
      <c r="KN140" s="35"/>
      <c r="KO140" s="35"/>
      <c r="KP140" s="35"/>
      <c r="KQ140" s="35"/>
      <c r="KR140" s="35"/>
      <c r="KS140" s="35"/>
      <c r="KT140" s="35"/>
      <c r="KU140" s="35"/>
      <c r="KV140" s="35"/>
      <c r="KW140" s="35"/>
      <c r="KX140" s="35"/>
      <c r="KY140" s="35"/>
      <c r="KZ140" s="35"/>
      <c r="LA140" s="35"/>
      <c r="LB140" s="35"/>
      <c r="LC140" s="35"/>
      <c r="LD140" s="35"/>
    </row>
    <row r="141" customFormat="false" ht="15" hidden="false" customHeight="false" outlineLevel="0" collapsed="false">
      <c r="A141" s="35" t="s">
        <v>348</v>
      </c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  <c r="AW141" s="35"/>
      <c r="AX141" s="35"/>
      <c r="AY141" s="35"/>
      <c r="AZ141" s="35"/>
      <c r="BA141" s="35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  <c r="DL141" s="35"/>
      <c r="DM141" s="35"/>
      <c r="DN141" s="35"/>
      <c r="DO141" s="35"/>
      <c r="DP141" s="35"/>
      <c r="DQ141" s="35"/>
      <c r="DR141" s="35"/>
      <c r="DS141" s="35"/>
      <c r="DT141" s="35"/>
      <c r="DU141" s="35"/>
      <c r="DV141" s="35"/>
      <c r="DW141" s="35"/>
      <c r="DX141" s="35"/>
      <c r="DY141" s="35"/>
      <c r="DZ141" s="35"/>
      <c r="EA141" s="35"/>
      <c r="EB141" s="35"/>
      <c r="EC141" s="35"/>
      <c r="ED141" s="35"/>
      <c r="EE141" s="35"/>
      <c r="EF141" s="35"/>
      <c r="EG141" s="35"/>
      <c r="EH141" s="35"/>
      <c r="EI141" s="35"/>
      <c r="EJ141" s="35"/>
      <c r="EK141" s="35"/>
      <c r="EL141" s="35"/>
      <c r="EM141" s="35"/>
      <c r="EN141" s="35"/>
      <c r="EO141" s="35"/>
      <c r="EP141" s="35"/>
      <c r="EQ141" s="35"/>
      <c r="ER141" s="35"/>
      <c r="ES141" s="35"/>
      <c r="ET141" s="35"/>
      <c r="EU141" s="35"/>
      <c r="EV141" s="35"/>
      <c r="EW141" s="35"/>
      <c r="EX141" s="35"/>
      <c r="EY141" s="35"/>
      <c r="EZ141" s="35"/>
      <c r="FA141" s="35"/>
      <c r="FB141" s="35"/>
      <c r="FC141" s="35"/>
      <c r="FD141" s="35"/>
      <c r="FE141" s="35"/>
      <c r="FF141" s="35"/>
      <c r="FG141" s="35"/>
      <c r="FH141" s="35"/>
      <c r="FI141" s="35"/>
      <c r="FJ141" s="35"/>
      <c r="FK141" s="35"/>
      <c r="FL141" s="35"/>
      <c r="FM141" s="35"/>
      <c r="FN141" s="35"/>
      <c r="FO141" s="35"/>
      <c r="FP141" s="35"/>
      <c r="FQ141" s="35"/>
      <c r="FR141" s="35"/>
      <c r="FS141" s="35"/>
      <c r="FT141" s="35"/>
      <c r="FU141" s="35"/>
      <c r="FV141" s="35"/>
      <c r="FW141" s="35"/>
      <c r="FX141" s="35"/>
      <c r="FY141" s="35"/>
      <c r="FZ141" s="35"/>
      <c r="GA141" s="35"/>
      <c r="GB141" s="35"/>
      <c r="GC141" s="35"/>
      <c r="GD141" s="35"/>
      <c r="GE141" s="35"/>
      <c r="GF141" s="35"/>
      <c r="GG141" s="35"/>
      <c r="GH141" s="35"/>
      <c r="GI141" s="35"/>
      <c r="GJ141" s="35"/>
      <c r="GK141" s="35"/>
      <c r="GL141" s="35"/>
      <c r="GM141" s="35"/>
      <c r="GN141" s="35"/>
      <c r="GO141" s="35"/>
      <c r="GP141" s="35"/>
      <c r="GQ141" s="35"/>
      <c r="GR141" s="35"/>
      <c r="GS141" s="35"/>
      <c r="GT141" s="35"/>
      <c r="GU141" s="35"/>
      <c r="GV141" s="35"/>
      <c r="GW141" s="35"/>
      <c r="GX141" s="35"/>
      <c r="GY141" s="35"/>
      <c r="GZ141" s="35"/>
      <c r="HA141" s="35"/>
      <c r="HB141" s="35"/>
      <c r="HC141" s="35"/>
      <c r="HD141" s="35"/>
      <c r="HE141" s="35"/>
      <c r="HF141" s="35"/>
      <c r="HG141" s="35"/>
      <c r="HH141" s="35"/>
      <c r="HI141" s="35"/>
      <c r="HJ141" s="35"/>
      <c r="HK141" s="35"/>
      <c r="HL141" s="35"/>
      <c r="HM141" s="35"/>
      <c r="HN141" s="35"/>
      <c r="HO141" s="35"/>
      <c r="HP141" s="35"/>
      <c r="HQ141" s="35"/>
      <c r="HR141" s="35"/>
      <c r="HS141" s="35"/>
      <c r="HT141" s="35"/>
      <c r="HU141" s="35"/>
      <c r="HV141" s="35"/>
      <c r="HW141" s="35"/>
      <c r="HX141" s="35"/>
      <c r="HY141" s="35"/>
      <c r="HZ141" s="35"/>
      <c r="IA141" s="35"/>
      <c r="IB141" s="35"/>
      <c r="IC141" s="35"/>
      <c r="ID141" s="35"/>
      <c r="IE141" s="35"/>
      <c r="IF141" s="35"/>
      <c r="IG141" s="35"/>
      <c r="IH141" s="35"/>
      <c r="II141" s="35"/>
      <c r="IJ141" s="35"/>
      <c r="IK141" s="35"/>
      <c r="IL141" s="35"/>
      <c r="IM141" s="35"/>
      <c r="IN141" s="35"/>
      <c r="IO141" s="35"/>
      <c r="IP141" s="35"/>
      <c r="IQ141" s="35"/>
      <c r="IR141" s="35"/>
      <c r="IS141" s="35"/>
      <c r="IT141" s="35"/>
      <c r="IU141" s="35"/>
      <c r="IV141" s="35"/>
      <c r="IW141" s="35"/>
      <c r="IX141" s="35"/>
      <c r="IY141" s="35"/>
      <c r="IZ141" s="35"/>
      <c r="JA141" s="35"/>
      <c r="JB141" s="35"/>
      <c r="JC141" s="35"/>
      <c r="JD141" s="35"/>
      <c r="JE141" s="35"/>
      <c r="JF141" s="35"/>
      <c r="JG141" s="35"/>
      <c r="JH141" s="35"/>
      <c r="JI141" s="35"/>
      <c r="JJ141" s="35"/>
      <c r="JK141" s="35"/>
      <c r="JL141" s="35"/>
      <c r="JM141" s="35"/>
      <c r="JN141" s="35"/>
      <c r="JO141" s="35"/>
      <c r="JP141" s="35"/>
      <c r="JQ141" s="35"/>
      <c r="JR141" s="35"/>
      <c r="JS141" s="35"/>
      <c r="JT141" s="35"/>
      <c r="JU141" s="35"/>
      <c r="JV141" s="35"/>
      <c r="JW141" s="35"/>
      <c r="JX141" s="35"/>
      <c r="JY141" s="35"/>
      <c r="JZ141" s="35"/>
      <c r="KA141" s="35"/>
      <c r="KB141" s="35"/>
      <c r="KC141" s="35"/>
      <c r="KD141" s="35"/>
      <c r="KE141" s="35"/>
      <c r="KF141" s="35"/>
      <c r="KG141" s="35"/>
      <c r="KH141" s="35"/>
      <c r="KI141" s="35"/>
      <c r="KJ141" s="35"/>
      <c r="KK141" s="35"/>
      <c r="KL141" s="35"/>
      <c r="KM141" s="35"/>
      <c r="KN141" s="35"/>
      <c r="KO141" s="35"/>
      <c r="KP141" s="35"/>
      <c r="KQ141" s="35"/>
      <c r="KR141" s="35"/>
      <c r="KS141" s="35"/>
      <c r="KT141" s="35"/>
      <c r="KU141" s="35"/>
      <c r="KV141" s="35"/>
      <c r="KW141" s="35"/>
      <c r="KX141" s="35"/>
      <c r="KY141" s="35"/>
      <c r="KZ141" s="35"/>
      <c r="LA141" s="35"/>
      <c r="LB141" s="35"/>
      <c r="LC141" s="35"/>
      <c r="LD141" s="35"/>
    </row>
    <row r="142" customFormat="false" ht="15" hidden="false" customHeight="false" outlineLevel="0" collapsed="false">
      <c r="A142" s="35" t="s">
        <v>350</v>
      </c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  <c r="AW142" s="35"/>
      <c r="AX142" s="35"/>
      <c r="AY142" s="35"/>
      <c r="AZ142" s="35"/>
      <c r="BA142" s="35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  <c r="DL142" s="35"/>
      <c r="DM142" s="35"/>
      <c r="DN142" s="35"/>
      <c r="DO142" s="35"/>
      <c r="DP142" s="35"/>
      <c r="DQ142" s="35"/>
      <c r="DR142" s="35"/>
      <c r="DS142" s="35"/>
      <c r="DT142" s="35"/>
      <c r="DU142" s="35"/>
      <c r="DV142" s="35"/>
      <c r="DW142" s="35"/>
      <c r="DX142" s="35"/>
      <c r="DY142" s="35"/>
      <c r="DZ142" s="35"/>
      <c r="EA142" s="35"/>
      <c r="EB142" s="35"/>
      <c r="EC142" s="35"/>
      <c r="ED142" s="35"/>
      <c r="EE142" s="35"/>
      <c r="EF142" s="35"/>
      <c r="EG142" s="35"/>
      <c r="EH142" s="35"/>
      <c r="EI142" s="35"/>
      <c r="EJ142" s="35"/>
      <c r="EK142" s="35"/>
      <c r="EL142" s="35"/>
      <c r="EM142" s="35"/>
      <c r="EN142" s="35"/>
      <c r="EO142" s="35"/>
      <c r="EP142" s="35"/>
      <c r="EQ142" s="35"/>
      <c r="ER142" s="35"/>
      <c r="ES142" s="35"/>
      <c r="ET142" s="35"/>
      <c r="EU142" s="35"/>
      <c r="EV142" s="35"/>
      <c r="EW142" s="35"/>
      <c r="EX142" s="35"/>
      <c r="EY142" s="35"/>
      <c r="EZ142" s="35"/>
      <c r="FA142" s="35"/>
      <c r="FB142" s="35"/>
      <c r="FC142" s="35"/>
      <c r="FD142" s="35"/>
      <c r="FE142" s="35"/>
      <c r="FF142" s="35"/>
      <c r="FG142" s="35"/>
      <c r="FH142" s="35"/>
      <c r="FI142" s="35"/>
      <c r="FJ142" s="35"/>
      <c r="FK142" s="35"/>
      <c r="FL142" s="35"/>
      <c r="FM142" s="35"/>
      <c r="FN142" s="35"/>
      <c r="FO142" s="35"/>
      <c r="FP142" s="35"/>
      <c r="FQ142" s="35"/>
      <c r="FR142" s="35"/>
      <c r="FS142" s="35"/>
      <c r="FT142" s="35"/>
      <c r="FU142" s="35"/>
      <c r="FV142" s="35"/>
      <c r="FW142" s="35"/>
      <c r="FX142" s="35"/>
      <c r="FY142" s="35"/>
      <c r="FZ142" s="35"/>
      <c r="GA142" s="35"/>
      <c r="GB142" s="35"/>
      <c r="GC142" s="35"/>
      <c r="GD142" s="35"/>
      <c r="GE142" s="35"/>
      <c r="GF142" s="35"/>
      <c r="GG142" s="35"/>
      <c r="GH142" s="35"/>
      <c r="GI142" s="35"/>
      <c r="GJ142" s="35"/>
      <c r="GK142" s="35"/>
      <c r="GL142" s="35"/>
      <c r="GM142" s="35"/>
      <c r="GN142" s="35"/>
      <c r="GO142" s="35"/>
      <c r="GP142" s="35"/>
      <c r="GQ142" s="35"/>
      <c r="GR142" s="35"/>
      <c r="GS142" s="35"/>
      <c r="GT142" s="35"/>
      <c r="GU142" s="35"/>
      <c r="GV142" s="35"/>
      <c r="GW142" s="35"/>
      <c r="GX142" s="35"/>
      <c r="GY142" s="35"/>
      <c r="GZ142" s="35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L142" s="35"/>
      <c r="HM142" s="35"/>
      <c r="HN142" s="35"/>
      <c r="HO142" s="35"/>
      <c r="HP142" s="35"/>
      <c r="HQ142" s="35"/>
      <c r="HR142" s="35"/>
      <c r="HS142" s="35"/>
      <c r="HT142" s="35"/>
      <c r="HU142" s="35"/>
      <c r="HV142" s="35"/>
      <c r="HW142" s="35"/>
      <c r="HX142" s="35"/>
      <c r="HY142" s="35"/>
      <c r="HZ142" s="35"/>
      <c r="IA142" s="35"/>
      <c r="IB142" s="35"/>
      <c r="IC142" s="35"/>
      <c r="ID142" s="35"/>
      <c r="IE142" s="35"/>
      <c r="IF142" s="35"/>
      <c r="IG142" s="35"/>
      <c r="IH142" s="35"/>
      <c r="II142" s="35"/>
      <c r="IJ142" s="35"/>
      <c r="IK142" s="35"/>
      <c r="IL142" s="35"/>
      <c r="IM142" s="35"/>
      <c r="IN142" s="35"/>
      <c r="IO142" s="35"/>
      <c r="IP142" s="35"/>
      <c r="IQ142" s="35"/>
      <c r="IR142" s="35"/>
      <c r="IS142" s="35"/>
      <c r="IT142" s="35"/>
      <c r="IU142" s="35"/>
      <c r="IV142" s="35"/>
      <c r="IW142" s="35"/>
      <c r="IX142" s="35"/>
      <c r="IY142" s="35"/>
      <c r="IZ142" s="35"/>
      <c r="JA142" s="35"/>
      <c r="JB142" s="35"/>
      <c r="JC142" s="35"/>
      <c r="JD142" s="35"/>
      <c r="JE142" s="35"/>
      <c r="JF142" s="35"/>
      <c r="JG142" s="35"/>
      <c r="JH142" s="35"/>
      <c r="JI142" s="35"/>
      <c r="JJ142" s="35"/>
      <c r="JK142" s="35"/>
      <c r="JL142" s="35"/>
      <c r="JM142" s="35"/>
      <c r="JN142" s="35"/>
      <c r="JO142" s="35"/>
      <c r="JP142" s="35"/>
      <c r="JQ142" s="35"/>
      <c r="JR142" s="35"/>
      <c r="JS142" s="35"/>
      <c r="JT142" s="35"/>
      <c r="JU142" s="35"/>
      <c r="JV142" s="35"/>
      <c r="JW142" s="35"/>
      <c r="JX142" s="35"/>
      <c r="JY142" s="35"/>
      <c r="JZ142" s="35"/>
      <c r="KA142" s="35"/>
      <c r="KB142" s="35"/>
      <c r="KC142" s="35"/>
      <c r="KD142" s="35"/>
      <c r="KE142" s="35"/>
      <c r="KF142" s="35"/>
      <c r="KG142" s="35"/>
      <c r="KH142" s="35"/>
      <c r="KI142" s="35"/>
      <c r="KJ142" s="35"/>
      <c r="KK142" s="35"/>
      <c r="KL142" s="35"/>
      <c r="KM142" s="35"/>
      <c r="KN142" s="35"/>
      <c r="KO142" s="35"/>
      <c r="KP142" s="35"/>
      <c r="KQ142" s="35"/>
      <c r="KR142" s="35"/>
      <c r="KS142" s="35"/>
      <c r="KT142" s="35"/>
      <c r="KU142" s="35"/>
      <c r="KV142" s="35"/>
      <c r="KW142" s="35"/>
      <c r="KX142" s="35"/>
      <c r="KY142" s="35"/>
      <c r="KZ142" s="35"/>
      <c r="LA142" s="35"/>
      <c r="LB142" s="35"/>
      <c r="LC142" s="35"/>
      <c r="LD142" s="35"/>
    </row>
    <row r="143" customFormat="false" ht="15" hidden="false" customHeight="false" outlineLevel="0" collapsed="false">
      <c r="A143" s="35" t="s">
        <v>352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35"/>
      <c r="EY143" s="35"/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35"/>
      <c r="FZ143" s="35"/>
      <c r="GA143" s="35"/>
      <c r="GB143" s="35"/>
      <c r="GC143" s="35"/>
      <c r="GD143" s="35"/>
      <c r="GE143" s="35"/>
      <c r="GF143" s="35"/>
      <c r="GG143" s="35"/>
      <c r="GH143" s="35"/>
      <c r="GI143" s="35"/>
      <c r="GJ143" s="35"/>
      <c r="GK143" s="35"/>
      <c r="GL143" s="35"/>
      <c r="GM143" s="35"/>
      <c r="GN143" s="35"/>
      <c r="GO143" s="35"/>
      <c r="GP143" s="35"/>
      <c r="GQ143" s="35"/>
      <c r="GR143" s="35"/>
      <c r="GS143" s="35"/>
      <c r="GT143" s="35"/>
      <c r="GU143" s="35"/>
      <c r="GV143" s="35"/>
      <c r="GW143" s="35"/>
      <c r="GX143" s="35"/>
      <c r="GY143" s="35"/>
      <c r="GZ143" s="35"/>
      <c r="HA143" s="35"/>
      <c r="HB143" s="35"/>
      <c r="HC143" s="35"/>
      <c r="HD143" s="35"/>
      <c r="HE143" s="35"/>
      <c r="HF143" s="35"/>
      <c r="HG143" s="35"/>
      <c r="HH143" s="35"/>
      <c r="HI143" s="35"/>
      <c r="HJ143" s="35"/>
      <c r="HK143" s="35"/>
      <c r="HL143" s="35"/>
      <c r="HM143" s="35"/>
      <c r="HN143" s="35"/>
      <c r="HO143" s="35"/>
      <c r="HP143" s="35"/>
      <c r="HQ143" s="35"/>
      <c r="HR143" s="35"/>
      <c r="HS143" s="35"/>
      <c r="HT143" s="35"/>
      <c r="HU143" s="35"/>
      <c r="HV143" s="35"/>
      <c r="HW143" s="35"/>
      <c r="HX143" s="35"/>
      <c r="HY143" s="35"/>
      <c r="HZ143" s="35"/>
      <c r="IA143" s="35"/>
      <c r="IB143" s="35"/>
      <c r="IC143" s="35"/>
      <c r="ID143" s="35"/>
      <c r="IE143" s="35"/>
      <c r="IF143" s="35"/>
      <c r="IG143" s="35"/>
      <c r="IH143" s="35"/>
      <c r="II143" s="35"/>
      <c r="IJ143" s="35"/>
      <c r="IK143" s="35"/>
      <c r="IL143" s="35"/>
      <c r="IM143" s="35"/>
      <c r="IN143" s="35"/>
      <c r="IO143" s="35"/>
      <c r="IP143" s="35"/>
      <c r="IQ143" s="35"/>
      <c r="IR143" s="35"/>
      <c r="IS143" s="35"/>
      <c r="IT143" s="35"/>
      <c r="IU143" s="35"/>
      <c r="IV143" s="35"/>
      <c r="IW143" s="35"/>
      <c r="IX143" s="35"/>
      <c r="IY143" s="35"/>
      <c r="IZ143" s="35"/>
      <c r="JA143" s="35"/>
      <c r="JB143" s="35"/>
      <c r="JC143" s="35"/>
      <c r="JD143" s="35"/>
      <c r="JE143" s="35"/>
      <c r="JF143" s="35"/>
      <c r="JG143" s="35"/>
      <c r="JH143" s="35"/>
      <c r="JI143" s="35"/>
      <c r="JJ143" s="35"/>
      <c r="JK143" s="35"/>
      <c r="JL143" s="35"/>
      <c r="JM143" s="35"/>
      <c r="JN143" s="35"/>
      <c r="JO143" s="35"/>
      <c r="JP143" s="35"/>
      <c r="JQ143" s="35"/>
      <c r="JR143" s="35"/>
      <c r="JS143" s="35"/>
      <c r="JT143" s="35"/>
      <c r="JU143" s="35"/>
      <c r="JV143" s="35"/>
      <c r="JW143" s="35"/>
      <c r="JX143" s="35"/>
      <c r="JY143" s="35"/>
      <c r="JZ143" s="35"/>
      <c r="KA143" s="35"/>
      <c r="KB143" s="35"/>
      <c r="KC143" s="35"/>
      <c r="KD143" s="35"/>
      <c r="KE143" s="35"/>
      <c r="KF143" s="35"/>
      <c r="KG143" s="35"/>
      <c r="KH143" s="35"/>
      <c r="KI143" s="35"/>
      <c r="KJ143" s="35"/>
      <c r="KK143" s="35"/>
      <c r="KL143" s="35"/>
      <c r="KM143" s="35"/>
      <c r="KN143" s="35"/>
      <c r="KO143" s="35"/>
      <c r="KP143" s="35"/>
      <c r="KQ143" s="35"/>
      <c r="KR143" s="35"/>
      <c r="KS143" s="35"/>
      <c r="KT143" s="35"/>
      <c r="KU143" s="35"/>
      <c r="KV143" s="35"/>
      <c r="KW143" s="35"/>
      <c r="KX143" s="35"/>
      <c r="KY143" s="35"/>
      <c r="KZ143" s="35"/>
      <c r="LA143" s="35"/>
      <c r="LB143" s="35"/>
      <c r="LC143" s="35"/>
      <c r="LD143" s="35"/>
    </row>
    <row r="144" customFormat="false" ht="15" hidden="false" customHeight="false" outlineLevel="0" collapsed="false">
      <c r="A144" s="35" t="s">
        <v>354</v>
      </c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5"/>
      <c r="EI144" s="35"/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5"/>
      <c r="EV144" s="35"/>
      <c r="EW144" s="35"/>
      <c r="EX144" s="35"/>
      <c r="EY144" s="35"/>
      <c r="EZ144" s="35"/>
      <c r="FA144" s="35"/>
      <c r="FB144" s="35"/>
      <c r="FC144" s="35"/>
      <c r="FD144" s="35"/>
      <c r="FE144" s="35"/>
      <c r="FF144" s="35"/>
      <c r="FG144" s="35"/>
      <c r="FH144" s="35"/>
      <c r="FI144" s="35"/>
      <c r="FJ144" s="35"/>
      <c r="FK144" s="35"/>
      <c r="FL144" s="35"/>
      <c r="FM144" s="35"/>
      <c r="FN144" s="35"/>
      <c r="FO144" s="35"/>
      <c r="FP144" s="35"/>
      <c r="FQ144" s="35"/>
      <c r="FR144" s="35"/>
      <c r="FS144" s="35"/>
      <c r="FT144" s="35"/>
      <c r="FU144" s="35"/>
      <c r="FV144" s="35"/>
      <c r="FW144" s="35"/>
      <c r="FX144" s="35"/>
      <c r="FY144" s="35"/>
      <c r="FZ144" s="35"/>
      <c r="GA144" s="35"/>
      <c r="GB144" s="35"/>
      <c r="GC144" s="35"/>
      <c r="GD144" s="35"/>
      <c r="GE144" s="35"/>
      <c r="GF144" s="35"/>
      <c r="GG144" s="35"/>
      <c r="GH144" s="35"/>
      <c r="GI144" s="35"/>
      <c r="GJ144" s="35"/>
      <c r="GK144" s="35"/>
      <c r="GL144" s="35"/>
      <c r="GM144" s="35"/>
      <c r="GN144" s="35"/>
      <c r="GO144" s="35"/>
      <c r="GP144" s="35"/>
      <c r="GQ144" s="35"/>
      <c r="GR144" s="35"/>
      <c r="GS144" s="35"/>
      <c r="GT144" s="35"/>
      <c r="GU144" s="35"/>
      <c r="GV144" s="35"/>
      <c r="GW144" s="35"/>
      <c r="GX144" s="35"/>
      <c r="GY144" s="35"/>
      <c r="GZ144" s="35"/>
      <c r="HA144" s="35"/>
      <c r="HB144" s="35"/>
      <c r="HC144" s="35"/>
      <c r="HD144" s="35"/>
      <c r="HE144" s="35"/>
      <c r="HF144" s="35"/>
      <c r="HG144" s="35"/>
      <c r="HH144" s="35"/>
      <c r="HI144" s="35"/>
      <c r="HJ144" s="35"/>
      <c r="HK144" s="35"/>
      <c r="HL144" s="35"/>
      <c r="HM144" s="35"/>
      <c r="HN144" s="35"/>
      <c r="HO144" s="35"/>
      <c r="HP144" s="35"/>
      <c r="HQ144" s="35"/>
      <c r="HR144" s="35"/>
      <c r="HS144" s="35"/>
      <c r="HT144" s="35"/>
      <c r="HU144" s="35"/>
      <c r="HV144" s="35"/>
      <c r="HW144" s="35"/>
      <c r="HX144" s="35"/>
      <c r="HY144" s="35"/>
      <c r="HZ144" s="35"/>
      <c r="IA144" s="35"/>
      <c r="IB144" s="35"/>
      <c r="IC144" s="35"/>
      <c r="ID144" s="35"/>
      <c r="IE144" s="35"/>
      <c r="IF144" s="35"/>
      <c r="IG144" s="35"/>
      <c r="IH144" s="35"/>
      <c r="II144" s="35"/>
      <c r="IJ144" s="35"/>
      <c r="IK144" s="35"/>
      <c r="IL144" s="35"/>
      <c r="IM144" s="35"/>
      <c r="IN144" s="35"/>
      <c r="IO144" s="35"/>
      <c r="IP144" s="35"/>
      <c r="IQ144" s="35"/>
      <c r="IR144" s="35"/>
      <c r="IS144" s="35"/>
      <c r="IT144" s="35"/>
      <c r="IU144" s="35"/>
      <c r="IV144" s="35"/>
      <c r="IW144" s="35"/>
      <c r="IX144" s="35"/>
      <c r="IY144" s="35"/>
      <c r="IZ144" s="35"/>
      <c r="JA144" s="35"/>
      <c r="JB144" s="35"/>
      <c r="JC144" s="35"/>
      <c r="JD144" s="35"/>
      <c r="JE144" s="35"/>
      <c r="JF144" s="35"/>
      <c r="JG144" s="35"/>
      <c r="JH144" s="35"/>
      <c r="JI144" s="35"/>
      <c r="JJ144" s="35"/>
      <c r="JK144" s="35"/>
      <c r="JL144" s="35"/>
      <c r="JM144" s="35"/>
      <c r="JN144" s="35"/>
      <c r="JO144" s="35"/>
      <c r="JP144" s="35"/>
      <c r="JQ144" s="35"/>
      <c r="JR144" s="35"/>
      <c r="JS144" s="35"/>
      <c r="JT144" s="35"/>
      <c r="JU144" s="35"/>
      <c r="JV144" s="35"/>
      <c r="JW144" s="35"/>
      <c r="JX144" s="35"/>
      <c r="JY144" s="35"/>
      <c r="JZ144" s="35"/>
      <c r="KA144" s="35"/>
      <c r="KB144" s="35"/>
      <c r="KC144" s="35"/>
      <c r="KD144" s="35"/>
      <c r="KE144" s="35"/>
      <c r="KF144" s="35"/>
      <c r="KG144" s="35"/>
      <c r="KH144" s="35"/>
      <c r="KI144" s="35"/>
      <c r="KJ144" s="35"/>
      <c r="KK144" s="35"/>
      <c r="KL144" s="35"/>
      <c r="KM144" s="35"/>
      <c r="KN144" s="35"/>
      <c r="KO144" s="35"/>
      <c r="KP144" s="35"/>
      <c r="KQ144" s="35"/>
      <c r="KR144" s="35"/>
      <c r="KS144" s="35"/>
      <c r="KT144" s="35"/>
      <c r="KU144" s="35"/>
      <c r="KV144" s="35"/>
      <c r="KW144" s="35"/>
      <c r="KX144" s="35"/>
      <c r="KY144" s="35"/>
      <c r="KZ144" s="35"/>
      <c r="LA144" s="35"/>
      <c r="LB144" s="35"/>
      <c r="LC144" s="35"/>
      <c r="LD144" s="35"/>
    </row>
    <row r="145" customFormat="false" ht="15" hidden="false" customHeight="false" outlineLevel="0" collapsed="false">
      <c r="A145" s="35" t="s">
        <v>356</v>
      </c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  <c r="AW145" s="35"/>
      <c r="AX145" s="35"/>
      <c r="AY145" s="35"/>
      <c r="AZ145" s="35"/>
      <c r="BA145" s="35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  <c r="DL145" s="35"/>
      <c r="DM145" s="35"/>
      <c r="DN145" s="35"/>
      <c r="DO145" s="35"/>
      <c r="DP145" s="35"/>
      <c r="DQ145" s="35"/>
      <c r="DR145" s="35"/>
      <c r="DS145" s="35"/>
      <c r="DT145" s="35"/>
      <c r="DU145" s="35"/>
      <c r="DV145" s="35"/>
      <c r="DW145" s="35"/>
      <c r="DX145" s="35"/>
      <c r="DY145" s="35"/>
      <c r="DZ145" s="35"/>
      <c r="EA145" s="35"/>
      <c r="EB145" s="35"/>
      <c r="EC145" s="35"/>
      <c r="ED145" s="35"/>
      <c r="EE145" s="35"/>
      <c r="EF145" s="35"/>
      <c r="EG145" s="35"/>
      <c r="EH145" s="35"/>
      <c r="EI145" s="35"/>
      <c r="EJ145" s="35"/>
      <c r="EK145" s="35"/>
      <c r="EL145" s="35"/>
      <c r="EM145" s="35"/>
      <c r="EN145" s="35"/>
      <c r="EO145" s="35"/>
      <c r="EP145" s="35"/>
      <c r="EQ145" s="35"/>
      <c r="ER145" s="35"/>
      <c r="ES145" s="35"/>
      <c r="ET145" s="35"/>
      <c r="EU145" s="35"/>
      <c r="EV145" s="35"/>
      <c r="EW145" s="35"/>
      <c r="EX145" s="35"/>
      <c r="EY145" s="35"/>
      <c r="EZ145" s="35"/>
      <c r="FA145" s="35"/>
      <c r="FB145" s="35"/>
      <c r="FC145" s="35"/>
      <c r="FD145" s="35"/>
      <c r="FE145" s="35"/>
      <c r="FF145" s="35"/>
      <c r="FG145" s="35"/>
      <c r="FH145" s="35"/>
      <c r="FI145" s="35"/>
      <c r="FJ145" s="35"/>
      <c r="FK145" s="35"/>
      <c r="FL145" s="35"/>
      <c r="FM145" s="35"/>
      <c r="FN145" s="35"/>
      <c r="FO145" s="35"/>
      <c r="FP145" s="35"/>
      <c r="FQ145" s="35"/>
      <c r="FR145" s="35"/>
      <c r="FS145" s="35"/>
      <c r="FT145" s="35"/>
      <c r="FU145" s="35"/>
      <c r="FV145" s="35"/>
      <c r="FW145" s="35"/>
      <c r="FX145" s="35"/>
      <c r="FY145" s="35"/>
      <c r="FZ145" s="35"/>
      <c r="GA145" s="35"/>
      <c r="GB145" s="35"/>
      <c r="GC145" s="35"/>
      <c r="GD145" s="35"/>
      <c r="GE145" s="35"/>
      <c r="GF145" s="35"/>
      <c r="GG145" s="35"/>
      <c r="GH145" s="35"/>
      <c r="GI145" s="35"/>
      <c r="GJ145" s="35"/>
      <c r="GK145" s="35"/>
      <c r="GL145" s="35"/>
      <c r="GM145" s="35"/>
      <c r="GN145" s="35"/>
      <c r="GO145" s="35"/>
      <c r="GP145" s="35"/>
      <c r="GQ145" s="35"/>
      <c r="GR145" s="35"/>
      <c r="GS145" s="35"/>
      <c r="GT145" s="35"/>
      <c r="GU145" s="35"/>
      <c r="GV145" s="35"/>
      <c r="GW145" s="35"/>
      <c r="GX145" s="35"/>
      <c r="GY145" s="35"/>
      <c r="GZ145" s="35"/>
      <c r="HA145" s="35"/>
      <c r="HB145" s="35"/>
      <c r="HC145" s="35"/>
      <c r="HD145" s="35"/>
      <c r="HE145" s="35"/>
      <c r="HF145" s="35"/>
      <c r="HG145" s="35"/>
      <c r="HH145" s="35"/>
      <c r="HI145" s="35"/>
      <c r="HJ145" s="35"/>
      <c r="HK145" s="35"/>
      <c r="HL145" s="35"/>
      <c r="HM145" s="35"/>
      <c r="HN145" s="35"/>
      <c r="HO145" s="35"/>
      <c r="HP145" s="35"/>
      <c r="HQ145" s="35"/>
      <c r="HR145" s="35"/>
      <c r="HS145" s="35"/>
      <c r="HT145" s="35"/>
      <c r="HU145" s="35"/>
      <c r="HV145" s="35"/>
      <c r="HW145" s="35"/>
      <c r="HX145" s="35"/>
      <c r="HY145" s="35"/>
      <c r="HZ145" s="35"/>
      <c r="IA145" s="35"/>
      <c r="IB145" s="35"/>
      <c r="IC145" s="35"/>
      <c r="ID145" s="35"/>
      <c r="IE145" s="35"/>
      <c r="IF145" s="35"/>
      <c r="IG145" s="35"/>
      <c r="IH145" s="35"/>
      <c r="II145" s="35"/>
      <c r="IJ145" s="35"/>
      <c r="IK145" s="35"/>
      <c r="IL145" s="35"/>
      <c r="IM145" s="35"/>
      <c r="IN145" s="35"/>
      <c r="IO145" s="35"/>
      <c r="IP145" s="35"/>
      <c r="IQ145" s="35"/>
      <c r="IR145" s="35"/>
      <c r="IS145" s="35"/>
      <c r="IT145" s="35"/>
      <c r="IU145" s="35"/>
      <c r="IV145" s="35"/>
      <c r="IW145" s="35"/>
      <c r="IX145" s="35"/>
      <c r="IY145" s="35"/>
      <c r="IZ145" s="35"/>
      <c r="JA145" s="35"/>
      <c r="JB145" s="35"/>
      <c r="JC145" s="35"/>
      <c r="JD145" s="35"/>
      <c r="JE145" s="35"/>
      <c r="JF145" s="35"/>
      <c r="JG145" s="35"/>
      <c r="JH145" s="35"/>
      <c r="JI145" s="35"/>
      <c r="JJ145" s="35"/>
      <c r="JK145" s="35"/>
      <c r="JL145" s="35"/>
      <c r="JM145" s="35"/>
      <c r="JN145" s="35"/>
      <c r="JO145" s="35"/>
      <c r="JP145" s="35"/>
      <c r="JQ145" s="35"/>
      <c r="JR145" s="35"/>
      <c r="JS145" s="35"/>
      <c r="JT145" s="35"/>
      <c r="JU145" s="35"/>
      <c r="JV145" s="35"/>
      <c r="JW145" s="35"/>
      <c r="JX145" s="35"/>
      <c r="JY145" s="35"/>
      <c r="JZ145" s="35"/>
      <c r="KA145" s="35"/>
      <c r="KB145" s="35"/>
      <c r="KC145" s="35"/>
      <c r="KD145" s="35"/>
      <c r="KE145" s="35"/>
      <c r="KF145" s="35"/>
      <c r="KG145" s="35"/>
      <c r="KH145" s="35"/>
      <c r="KI145" s="35"/>
      <c r="KJ145" s="35"/>
      <c r="KK145" s="35"/>
      <c r="KL145" s="35"/>
      <c r="KM145" s="35"/>
      <c r="KN145" s="35"/>
      <c r="KO145" s="35"/>
      <c r="KP145" s="35"/>
      <c r="KQ145" s="35"/>
      <c r="KR145" s="35"/>
      <c r="KS145" s="35"/>
      <c r="KT145" s="35"/>
      <c r="KU145" s="35"/>
      <c r="KV145" s="35"/>
      <c r="KW145" s="35"/>
      <c r="KX145" s="35"/>
      <c r="KY145" s="35"/>
      <c r="KZ145" s="35"/>
      <c r="LA145" s="35"/>
      <c r="LB145" s="35"/>
      <c r="LC145" s="35"/>
      <c r="LD145" s="35"/>
    </row>
    <row r="146" customFormat="false" ht="15" hidden="false" customHeight="false" outlineLevel="0" collapsed="false">
      <c r="A146" s="35" t="s">
        <v>358</v>
      </c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  <c r="DL146" s="35"/>
      <c r="DM146" s="35"/>
      <c r="DN146" s="35"/>
      <c r="DO146" s="35"/>
      <c r="DP146" s="35"/>
      <c r="DQ146" s="35"/>
      <c r="DR146" s="35"/>
      <c r="DS146" s="35"/>
      <c r="DT146" s="35"/>
      <c r="DU146" s="35"/>
      <c r="DV146" s="35"/>
      <c r="DW146" s="35"/>
      <c r="DX146" s="35"/>
      <c r="DY146" s="35"/>
      <c r="DZ146" s="35"/>
      <c r="EA146" s="35"/>
      <c r="EB146" s="35"/>
      <c r="EC146" s="35"/>
      <c r="ED146" s="35"/>
      <c r="EE146" s="35"/>
      <c r="EF146" s="35"/>
      <c r="EG146" s="35"/>
      <c r="EH146" s="35"/>
      <c r="EI146" s="35"/>
      <c r="EJ146" s="35"/>
      <c r="EK146" s="35"/>
      <c r="EL146" s="35"/>
      <c r="EM146" s="35"/>
      <c r="EN146" s="35"/>
      <c r="EO146" s="35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5"/>
      <c r="FE146" s="35"/>
      <c r="FF146" s="35"/>
      <c r="FG146" s="35"/>
      <c r="FH146" s="35"/>
      <c r="FI146" s="35"/>
      <c r="FJ146" s="35"/>
      <c r="FK146" s="35"/>
      <c r="FL146" s="35"/>
      <c r="FM146" s="35"/>
      <c r="FN146" s="35"/>
      <c r="FO146" s="35"/>
      <c r="FP146" s="35"/>
      <c r="FQ146" s="35"/>
      <c r="FR146" s="35"/>
      <c r="FS146" s="35"/>
      <c r="FT146" s="35"/>
      <c r="FU146" s="35"/>
      <c r="FV146" s="35"/>
      <c r="FW146" s="35"/>
      <c r="FX146" s="35"/>
      <c r="FY146" s="35"/>
      <c r="FZ146" s="35"/>
      <c r="GA146" s="35"/>
      <c r="GB146" s="35"/>
      <c r="GC146" s="35"/>
      <c r="GD146" s="35"/>
      <c r="GE146" s="35"/>
      <c r="GF146" s="35"/>
      <c r="GG146" s="35"/>
      <c r="GH146" s="35"/>
      <c r="GI146" s="35"/>
      <c r="GJ146" s="35"/>
      <c r="GK146" s="35"/>
      <c r="GL146" s="35"/>
      <c r="GM146" s="35"/>
      <c r="GN146" s="35"/>
      <c r="GO146" s="35"/>
      <c r="GP146" s="35"/>
      <c r="GQ146" s="35"/>
      <c r="GR146" s="35"/>
      <c r="GS146" s="35"/>
      <c r="GT146" s="35"/>
      <c r="GU146" s="35"/>
      <c r="GV146" s="35"/>
      <c r="GW146" s="35"/>
      <c r="GX146" s="35"/>
      <c r="GY146" s="35"/>
      <c r="GZ146" s="35"/>
      <c r="HA146" s="35"/>
      <c r="HB146" s="35"/>
      <c r="HC146" s="35"/>
      <c r="HD146" s="35"/>
      <c r="HE146" s="35"/>
      <c r="HF146" s="35"/>
      <c r="HG146" s="35"/>
      <c r="HH146" s="35"/>
      <c r="HI146" s="35"/>
      <c r="HJ146" s="35"/>
      <c r="HK146" s="35"/>
      <c r="HL146" s="35"/>
      <c r="HM146" s="35"/>
      <c r="HN146" s="35"/>
      <c r="HO146" s="35"/>
      <c r="HP146" s="35"/>
      <c r="HQ146" s="35"/>
      <c r="HR146" s="35"/>
      <c r="HS146" s="35"/>
      <c r="HT146" s="35"/>
      <c r="HU146" s="35"/>
      <c r="HV146" s="35"/>
      <c r="HW146" s="35"/>
      <c r="HX146" s="35"/>
      <c r="HY146" s="35"/>
      <c r="HZ146" s="35"/>
      <c r="IA146" s="35"/>
      <c r="IB146" s="35"/>
      <c r="IC146" s="35"/>
      <c r="ID146" s="35"/>
      <c r="IE146" s="35"/>
      <c r="IF146" s="35"/>
      <c r="IG146" s="35"/>
      <c r="IH146" s="35"/>
      <c r="II146" s="35"/>
      <c r="IJ146" s="35"/>
      <c r="IK146" s="35"/>
      <c r="IL146" s="35"/>
      <c r="IM146" s="35"/>
      <c r="IN146" s="35"/>
      <c r="IO146" s="35"/>
      <c r="IP146" s="35"/>
      <c r="IQ146" s="35"/>
      <c r="IR146" s="35"/>
      <c r="IS146" s="35"/>
      <c r="IT146" s="35"/>
      <c r="IU146" s="35"/>
      <c r="IV146" s="35"/>
      <c r="IW146" s="35"/>
      <c r="IX146" s="35"/>
      <c r="IY146" s="35"/>
      <c r="IZ146" s="35"/>
      <c r="JA146" s="35"/>
      <c r="JB146" s="35"/>
      <c r="JC146" s="35"/>
      <c r="JD146" s="35"/>
      <c r="JE146" s="35"/>
      <c r="JF146" s="35"/>
      <c r="JG146" s="35"/>
      <c r="JH146" s="35"/>
      <c r="JI146" s="35"/>
      <c r="JJ146" s="35"/>
      <c r="JK146" s="35"/>
      <c r="JL146" s="35"/>
      <c r="JM146" s="35"/>
      <c r="JN146" s="35"/>
      <c r="JO146" s="35"/>
      <c r="JP146" s="35"/>
      <c r="JQ146" s="35"/>
      <c r="JR146" s="35"/>
      <c r="JS146" s="35"/>
      <c r="JT146" s="35"/>
      <c r="JU146" s="35"/>
      <c r="JV146" s="35"/>
      <c r="JW146" s="35"/>
      <c r="JX146" s="35"/>
      <c r="JY146" s="35"/>
      <c r="JZ146" s="35"/>
      <c r="KA146" s="35"/>
      <c r="KB146" s="35"/>
      <c r="KC146" s="35"/>
      <c r="KD146" s="35"/>
      <c r="KE146" s="35"/>
      <c r="KF146" s="35"/>
      <c r="KG146" s="35"/>
      <c r="KH146" s="35"/>
      <c r="KI146" s="35"/>
      <c r="KJ146" s="35"/>
      <c r="KK146" s="35"/>
      <c r="KL146" s="35"/>
      <c r="KM146" s="35"/>
      <c r="KN146" s="35"/>
      <c r="KO146" s="35"/>
      <c r="KP146" s="35"/>
      <c r="KQ146" s="35"/>
      <c r="KR146" s="35"/>
      <c r="KS146" s="35"/>
      <c r="KT146" s="35"/>
      <c r="KU146" s="35"/>
      <c r="KV146" s="35"/>
      <c r="KW146" s="35"/>
      <c r="KX146" s="35"/>
      <c r="KY146" s="35"/>
      <c r="KZ146" s="35"/>
      <c r="LA146" s="35"/>
      <c r="LB146" s="35"/>
      <c r="LC146" s="35"/>
      <c r="LD146" s="35"/>
    </row>
    <row r="147" customFormat="false" ht="15" hidden="false" customHeight="false" outlineLevel="0" collapsed="false">
      <c r="A147" s="35" t="s">
        <v>360</v>
      </c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  <c r="DL147" s="35"/>
      <c r="DM147" s="35"/>
      <c r="DN147" s="35"/>
      <c r="DO147" s="35"/>
      <c r="DP147" s="35"/>
      <c r="DQ147" s="35"/>
      <c r="DR147" s="35"/>
      <c r="DS147" s="35"/>
      <c r="DT147" s="35"/>
      <c r="DU147" s="35"/>
      <c r="DV147" s="35"/>
      <c r="DW147" s="35"/>
      <c r="DX147" s="35"/>
      <c r="DY147" s="35"/>
      <c r="DZ147" s="35"/>
      <c r="EA147" s="35"/>
      <c r="EB147" s="35"/>
      <c r="EC147" s="35"/>
      <c r="ED147" s="35"/>
      <c r="EE147" s="35"/>
      <c r="EF147" s="35"/>
      <c r="EG147" s="35"/>
      <c r="EH147" s="35"/>
      <c r="EI147" s="35"/>
      <c r="EJ147" s="35"/>
      <c r="EK147" s="35"/>
      <c r="EL147" s="35"/>
      <c r="EM147" s="35"/>
      <c r="EN147" s="35"/>
      <c r="EO147" s="35"/>
      <c r="EP147" s="35"/>
      <c r="EQ147" s="35"/>
      <c r="ER147" s="35"/>
      <c r="ES147" s="35"/>
      <c r="ET147" s="35"/>
      <c r="EU147" s="35"/>
      <c r="EV147" s="35"/>
      <c r="EW147" s="35"/>
      <c r="EX147" s="35"/>
      <c r="EY147" s="35"/>
      <c r="EZ147" s="35"/>
      <c r="FA147" s="35"/>
      <c r="FB147" s="35"/>
      <c r="FC147" s="35"/>
      <c r="FD147" s="35"/>
      <c r="FE147" s="35"/>
      <c r="FF147" s="35"/>
      <c r="FG147" s="35"/>
      <c r="FH147" s="35"/>
      <c r="FI147" s="35"/>
      <c r="FJ147" s="35"/>
      <c r="FK147" s="35"/>
      <c r="FL147" s="35"/>
      <c r="FM147" s="35"/>
      <c r="FN147" s="35"/>
      <c r="FO147" s="35"/>
      <c r="FP147" s="35"/>
      <c r="FQ147" s="35"/>
      <c r="FR147" s="35"/>
      <c r="FS147" s="35"/>
      <c r="FT147" s="35"/>
      <c r="FU147" s="35"/>
      <c r="FV147" s="35"/>
      <c r="FW147" s="35"/>
      <c r="FX147" s="35"/>
      <c r="FY147" s="35"/>
      <c r="FZ147" s="35"/>
      <c r="GA147" s="35"/>
      <c r="GB147" s="35"/>
      <c r="GC147" s="35"/>
      <c r="GD147" s="35"/>
      <c r="GE147" s="35"/>
      <c r="GF147" s="35"/>
      <c r="GG147" s="35"/>
      <c r="GH147" s="35"/>
      <c r="GI147" s="35"/>
      <c r="GJ147" s="35"/>
      <c r="GK147" s="35"/>
      <c r="GL147" s="35"/>
      <c r="GM147" s="35"/>
      <c r="GN147" s="35"/>
      <c r="GO147" s="35"/>
      <c r="GP147" s="35"/>
      <c r="GQ147" s="35"/>
      <c r="GR147" s="35"/>
      <c r="GS147" s="35"/>
      <c r="GT147" s="35"/>
      <c r="GU147" s="35"/>
      <c r="GV147" s="35"/>
      <c r="GW147" s="35"/>
      <c r="GX147" s="35"/>
      <c r="GY147" s="35"/>
      <c r="GZ147" s="35"/>
      <c r="HA147" s="35"/>
      <c r="HB147" s="35"/>
      <c r="HC147" s="35"/>
      <c r="HD147" s="35"/>
      <c r="HE147" s="35"/>
      <c r="HF147" s="35"/>
      <c r="HG147" s="35"/>
      <c r="HH147" s="35"/>
      <c r="HI147" s="35"/>
      <c r="HJ147" s="35"/>
      <c r="HK147" s="35"/>
      <c r="HL147" s="35"/>
      <c r="HM147" s="35"/>
      <c r="HN147" s="35"/>
      <c r="HO147" s="35"/>
      <c r="HP147" s="35"/>
      <c r="HQ147" s="35"/>
      <c r="HR147" s="35"/>
      <c r="HS147" s="35"/>
      <c r="HT147" s="35"/>
      <c r="HU147" s="35"/>
      <c r="HV147" s="35"/>
      <c r="HW147" s="35"/>
      <c r="HX147" s="35"/>
      <c r="HY147" s="35"/>
      <c r="HZ147" s="35"/>
      <c r="IA147" s="35"/>
      <c r="IB147" s="35"/>
      <c r="IC147" s="35"/>
      <c r="ID147" s="35"/>
      <c r="IE147" s="35"/>
      <c r="IF147" s="35"/>
      <c r="IG147" s="35"/>
      <c r="IH147" s="35"/>
      <c r="II147" s="35"/>
      <c r="IJ147" s="35"/>
      <c r="IK147" s="35"/>
      <c r="IL147" s="35"/>
      <c r="IM147" s="35"/>
      <c r="IN147" s="35"/>
      <c r="IO147" s="35"/>
      <c r="IP147" s="35"/>
      <c r="IQ147" s="35"/>
      <c r="IR147" s="35"/>
      <c r="IS147" s="35"/>
      <c r="IT147" s="35"/>
      <c r="IU147" s="35"/>
      <c r="IV147" s="35"/>
      <c r="IW147" s="35"/>
      <c r="IX147" s="35"/>
      <c r="IY147" s="35"/>
      <c r="IZ147" s="35"/>
      <c r="JA147" s="35"/>
      <c r="JB147" s="35"/>
      <c r="JC147" s="35"/>
      <c r="JD147" s="35"/>
      <c r="JE147" s="35"/>
      <c r="JF147" s="35"/>
      <c r="JG147" s="35"/>
      <c r="JH147" s="35"/>
      <c r="JI147" s="35"/>
      <c r="JJ147" s="35"/>
      <c r="JK147" s="35"/>
      <c r="JL147" s="35"/>
      <c r="JM147" s="35"/>
      <c r="JN147" s="35"/>
      <c r="JO147" s="35"/>
      <c r="JP147" s="35"/>
      <c r="JQ147" s="35"/>
      <c r="JR147" s="35"/>
      <c r="JS147" s="35"/>
      <c r="JT147" s="35"/>
      <c r="JU147" s="35"/>
      <c r="JV147" s="35"/>
      <c r="JW147" s="35"/>
      <c r="JX147" s="35"/>
      <c r="JY147" s="35"/>
      <c r="JZ147" s="35"/>
      <c r="KA147" s="35"/>
      <c r="KB147" s="35"/>
      <c r="KC147" s="35"/>
      <c r="KD147" s="35"/>
      <c r="KE147" s="35"/>
      <c r="KF147" s="35"/>
      <c r="KG147" s="35"/>
      <c r="KH147" s="35"/>
      <c r="KI147" s="35"/>
      <c r="KJ147" s="35"/>
      <c r="KK147" s="35"/>
      <c r="KL147" s="35"/>
      <c r="KM147" s="35"/>
      <c r="KN147" s="35"/>
      <c r="KO147" s="35"/>
      <c r="KP147" s="35"/>
      <c r="KQ147" s="35"/>
      <c r="KR147" s="35"/>
      <c r="KS147" s="35"/>
      <c r="KT147" s="35"/>
      <c r="KU147" s="35"/>
      <c r="KV147" s="35"/>
      <c r="KW147" s="35"/>
      <c r="KX147" s="35"/>
      <c r="KY147" s="35"/>
      <c r="KZ147" s="35"/>
      <c r="LA147" s="35"/>
      <c r="LB147" s="35"/>
      <c r="LC147" s="35"/>
      <c r="LD147" s="35"/>
    </row>
    <row r="148" customFormat="false" ht="15" hidden="false" customHeight="false" outlineLevel="0" collapsed="false">
      <c r="A148" s="35" t="s">
        <v>362</v>
      </c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35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  <c r="DL148" s="35"/>
      <c r="DM148" s="35"/>
      <c r="DN148" s="35"/>
      <c r="DO148" s="35"/>
      <c r="DP148" s="35"/>
      <c r="DQ148" s="35"/>
      <c r="DR148" s="35"/>
      <c r="DS148" s="35"/>
      <c r="DT148" s="35"/>
      <c r="DU148" s="35"/>
      <c r="DV148" s="35"/>
      <c r="DW148" s="35"/>
      <c r="DX148" s="35"/>
      <c r="DY148" s="35"/>
      <c r="DZ148" s="35"/>
      <c r="EA148" s="35"/>
      <c r="EB148" s="35"/>
      <c r="EC148" s="35"/>
      <c r="ED148" s="35"/>
      <c r="EE148" s="35"/>
      <c r="EF148" s="35"/>
      <c r="EG148" s="35"/>
      <c r="EH148" s="35"/>
      <c r="EI148" s="35"/>
      <c r="EJ148" s="35"/>
      <c r="EK148" s="35"/>
      <c r="EL148" s="35"/>
      <c r="EM148" s="35"/>
      <c r="EN148" s="35"/>
      <c r="EO148" s="35"/>
      <c r="EP148" s="35"/>
      <c r="EQ148" s="35"/>
      <c r="ER148" s="35"/>
      <c r="ES148" s="35"/>
      <c r="ET148" s="35"/>
      <c r="EU148" s="35"/>
      <c r="EV148" s="35"/>
      <c r="EW148" s="35"/>
      <c r="EX148" s="35"/>
      <c r="EY148" s="35"/>
      <c r="EZ148" s="35"/>
      <c r="FA148" s="35"/>
      <c r="FB148" s="35"/>
      <c r="FC148" s="35"/>
      <c r="FD148" s="35"/>
      <c r="FE148" s="35"/>
      <c r="FF148" s="35"/>
      <c r="FG148" s="35"/>
      <c r="FH148" s="35"/>
      <c r="FI148" s="35"/>
      <c r="FJ148" s="35"/>
      <c r="FK148" s="35"/>
      <c r="FL148" s="35"/>
      <c r="FM148" s="35"/>
      <c r="FN148" s="35"/>
      <c r="FO148" s="35"/>
      <c r="FP148" s="35"/>
      <c r="FQ148" s="35"/>
      <c r="FR148" s="35"/>
      <c r="FS148" s="35"/>
      <c r="FT148" s="35"/>
      <c r="FU148" s="35"/>
      <c r="FV148" s="35"/>
      <c r="FW148" s="35"/>
      <c r="FX148" s="35"/>
      <c r="FY148" s="35"/>
      <c r="FZ148" s="35"/>
      <c r="GA148" s="35"/>
      <c r="GB148" s="35"/>
      <c r="GC148" s="35"/>
      <c r="GD148" s="35"/>
      <c r="GE148" s="35"/>
      <c r="GF148" s="35"/>
      <c r="GG148" s="35"/>
      <c r="GH148" s="35"/>
      <c r="GI148" s="35"/>
      <c r="GJ148" s="35"/>
      <c r="GK148" s="35"/>
      <c r="GL148" s="35"/>
      <c r="GM148" s="35"/>
      <c r="GN148" s="35"/>
      <c r="GO148" s="35"/>
      <c r="GP148" s="35"/>
      <c r="GQ148" s="35"/>
      <c r="GR148" s="35"/>
      <c r="GS148" s="35"/>
      <c r="GT148" s="35"/>
      <c r="GU148" s="35"/>
      <c r="GV148" s="35"/>
      <c r="GW148" s="35"/>
      <c r="GX148" s="35"/>
      <c r="GY148" s="35"/>
      <c r="GZ148" s="35"/>
      <c r="HA148" s="35"/>
      <c r="HB148" s="35"/>
      <c r="HC148" s="35"/>
      <c r="HD148" s="35"/>
      <c r="HE148" s="35"/>
      <c r="HF148" s="35"/>
      <c r="HG148" s="35"/>
      <c r="HH148" s="35"/>
      <c r="HI148" s="35"/>
      <c r="HJ148" s="35"/>
      <c r="HK148" s="35"/>
      <c r="HL148" s="35"/>
      <c r="HM148" s="35"/>
      <c r="HN148" s="35"/>
      <c r="HO148" s="35"/>
      <c r="HP148" s="35"/>
      <c r="HQ148" s="35"/>
      <c r="HR148" s="35"/>
      <c r="HS148" s="35"/>
      <c r="HT148" s="35"/>
      <c r="HU148" s="35"/>
      <c r="HV148" s="35"/>
      <c r="HW148" s="35"/>
      <c r="HX148" s="35"/>
      <c r="HY148" s="35"/>
      <c r="HZ148" s="35"/>
      <c r="IA148" s="35"/>
      <c r="IB148" s="35"/>
      <c r="IC148" s="35"/>
      <c r="ID148" s="35"/>
      <c r="IE148" s="35"/>
      <c r="IF148" s="35"/>
      <c r="IG148" s="35"/>
      <c r="IH148" s="35"/>
      <c r="II148" s="35"/>
      <c r="IJ148" s="35"/>
      <c r="IK148" s="35"/>
      <c r="IL148" s="35"/>
      <c r="IM148" s="35"/>
      <c r="IN148" s="35"/>
      <c r="IO148" s="35"/>
      <c r="IP148" s="35"/>
      <c r="IQ148" s="35"/>
      <c r="IR148" s="35"/>
      <c r="IS148" s="35"/>
      <c r="IT148" s="35"/>
      <c r="IU148" s="35"/>
      <c r="IV148" s="35"/>
      <c r="IW148" s="35"/>
      <c r="IX148" s="35"/>
      <c r="IY148" s="35"/>
      <c r="IZ148" s="35"/>
      <c r="JA148" s="35"/>
      <c r="JB148" s="35"/>
      <c r="JC148" s="35"/>
      <c r="JD148" s="35"/>
      <c r="JE148" s="35"/>
      <c r="JF148" s="35"/>
      <c r="JG148" s="35"/>
      <c r="JH148" s="35"/>
      <c r="JI148" s="35"/>
      <c r="JJ148" s="35"/>
      <c r="JK148" s="35"/>
      <c r="JL148" s="35"/>
      <c r="JM148" s="35"/>
      <c r="JN148" s="35"/>
      <c r="JO148" s="35"/>
      <c r="JP148" s="35"/>
      <c r="JQ148" s="35"/>
      <c r="JR148" s="35"/>
      <c r="JS148" s="35"/>
      <c r="JT148" s="35"/>
      <c r="JU148" s="35"/>
      <c r="JV148" s="35"/>
      <c r="JW148" s="35"/>
      <c r="JX148" s="35"/>
      <c r="JY148" s="35"/>
      <c r="JZ148" s="35"/>
      <c r="KA148" s="35"/>
      <c r="KB148" s="35"/>
      <c r="KC148" s="35"/>
      <c r="KD148" s="35"/>
      <c r="KE148" s="35"/>
      <c r="KF148" s="35"/>
      <c r="KG148" s="35"/>
      <c r="KH148" s="35"/>
      <c r="KI148" s="35"/>
      <c r="KJ148" s="35"/>
      <c r="KK148" s="35"/>
      <c r="KL148" s="35"/>
      <c r="KM148" s="35"/>
      <c r="KN148" s="35"/>
      <c r="KO148" s="35"/>
      <c r="KP148" s="35"/>
      <c r="KQ148" s="35"/>
      <c r="KR148" s="35"/>
      <c r="KS148" s="35"/>
      <c r="KT148" s="35"/>
      <c r="KU148" s="35"/>
      <c r="KV148" s="35"/>
      <c r="KW148" s="35"/>
      <c r="KX148" s="35"/>
      <c r="KY148" s="35"/>
      <c r="KZ148" s="35"/>
      <c r="LA148" s="35"/>
      <c r="LB148" s="35"/>
      <c r="LC148" s="35"/>
      <c r="LD148" s="35"/>
    </row>
    <row r="149" customFormat="false" ht="15" hidden="false" customHeight="false" outlineLevel="0" collapsed="false">
      <c r="A149" s="35" t="s">
        <v>364</v>
      </c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35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  <c r="DL149" s="35"/>
      <c r="DM149" s="35"/>
      <c r="DN149" s="35"/>
      <c r="DO149" s="35"/>
      <c r="DP149" s="35"/>
      <c r="DQ149" s="35"/>
      <c r="DR149" s="35"/>
      <c r="DS149" s="35"/>
      <c r="DT149" s="35"/>
      <c r="DU149" s="35"/>
      <c r="DV149" s="35"/>
      <c r="DW149" s="35"/>
      <c r="DX149" s="35"/>
      <c r="DY149" s="35"/>
      <c r="DZ149" s="35"/>
      <c r="EA149" s="35"/>
      <c r="EB149" s="35"/>
      <c r="EC149" s="35"/>
      <c r="ED149" s="35"/>
      <c r="EE149" s="35"/>
      <c r="EF149" s="35"/>
      <c r="EG149" s="35"/>
      <c r="EH149" s="35"/>
      <c r="EI149" s="35"/>
      <c r="EJ149" s="35"/>
      <c r="EK149" s="35"/>
      <c r="EL149" s="35"/>
      <c r="EM149" s="35"/>
      <c r="EN149" s="35"/>
      <c r="EO149" s="35"/>
      <c r="EP149" s="35"/>
      <c r="EQ149" s="35"/>
      <c r="ER149" s="35"/>
      <c r="ES149" s="35"/>
      <c r="ET149" s="35"/>
      <c r="EU149" s="35"/>
      <c r="EV149" s="35"/>
      <c r="EW149" s="35"/>
      <c r="EX149" s="35"/>
      <c r="EY149" s="35"/>
      <c r="EZ149" s="35"/>
      <c r="FA149" s="35"/>
      <c r="FB149" s="35"/>
      <c r="FC149" s="35"/>
      <c r="FD149" s="35"/>
      <c r="FE149" s="35"/>
      <c r="FF149" s="35"/>
      <c r="FG149" s="35"/>
      <c r="FH149" s="35"/>
      <c r="FI149" s="35"/>
      <c r="FJ149" s="35"/>
      <c r="FK149" s="35"/>
      <c r="FL149" s="35"/>
      <c r="FM149" s="35"/>
      <c r="FN149" s="35"/>
      <c r="FO149" s="35"/>
      <c r="FP149" s="35"/>
      <c r="FQ149" s="35"/>
      <c r="FR149" s="35"/>
      <c r="FS149" s="35"/>
      <c r="FT149" s="35"/>
      <c r="FU149" s="35"/>
      <c r="FV149" s="35"/>
      <c r="FW149" s="35"/>
      <c r="FX149" s="35"/>
      <c r="FY149" s="35"/>
      <c r="FZ149" s="35"/>
      <c r="GA149" s="35"/>
      <c r="GB149" s="35"/>
      <c r="GC149" s="35"/>
      <c r="GD149" s="35"/>
      <c r="GE149" s="35"/>
      <c r="GF149" s="35"/>
      <c r="GG149" s="35"/>
      <c r="GH149" s="35"/>
      <c r="GI149" s="35"/>
      <c r="GJ149" s="35"/>
      <c r="GK149" s="35"/>
      <c r="GL149" s="35"/>
      <c r="GM149" s="35"/>
      <c r="GN149" s="35"/>
      <c r="GO149" s="35"/>
      <c r="GP149" s="35"/>
      <c r="GQ149" s="35"/>
      <c r="GR149" s="35"/>
      <c r="GS149" s="35"/>
      <c r="GT149" s="35"/>
      <c r="GU149" s="35"/>
      <c r="GV149" s="35"/>
      <c r="GW149" s="35"/>
      <c r="GX149" s="35"/>
      <c r="GY149" s="35"/>
      <c r="GZ149" s="35"/>
      <c r="HA149" s="35"/>
      <c r="HB149" s="35"/>
      <c r="HC149" s="35"/>
      <c r="HD149" s="35"/>
      <c r="HE149" s="35"/>
      <c r="HF149" s="35"/>
      <c r="HG149" s="35"/>
      <c r="HH149" s="35"/>
      <c r="HI149" s="35"/>
      <c r="HJ149" s="35"/>
      <c r="HK149" s="35"/>
      <c r="HL149" s="35"/>
      <c r="HM149" s="35"/>
      <c r="HN149" s="35"/>
      <c r="HO149" s="35"/>
      <c r="HP149" s="35"/>
      <c r="HQ149" s="35"/>
      <c r="HR149" s="35"/>
      <c r="HS149" s="35"/>
      <c r="HT149" s="35"/>
      <c r="HU149" s="35"/>
      <c r="HV149" s="35"/>
      <c r="HW149" s="35"/>
      <c r="HX149" s="35"/>
      <c r="HY149" s="35"/>
      <c r="HZ149" s="35"/>
      <c r="IA149" s="35"/>
      <c r="IB149" s="35"/>
      <c r="IC149" s="35"/>
      <c r="ID149" s="35"/>
      <c r="IE149" s="35"/>
      <c r="IF149" s="35"/>
      <c r="IG149" s="35"/>
      <c r="IH149" s="35"/>
      <c r="II149" s="35"/>
      <c r="IJ149" s="35"/>
      <c r="IK149" s="35"/>
      <c r="IL149" s="35"/>
      <c r="IM149" s="35"/>
      <c r="IN149" s="35"/>
      <c r="IO149" s="35"/>
      <c r="IP149" s="35"/>
      <c r="IQ149" s="35"/>
      <c r="IR149" s="35"/>
      <c r="IS149" s="35"/>
      <c r="IT149" s="35"/>
      <c r="IU149" s="35"/>
      <c r="IV149" s="35"/>
      <c r="IW149" s="35"/>
      <c r="IX149" s="35"/>
      <c r="IY149" s="35"/>
      <c r="IZ149" s="35"/>
      <c r="JA149" s="35"/>
      <c r="JB149" s="35"/>
      <c r="JC149" s="35"/>
      <c r="JD149" s="35"/>
      <c r="JE149" s="35"/>
      <c r="JF149" s="35"/>
      <c r="JG149" s="35"/>
      <c r="JH149" s="35"/>
      <c r="JI149" s="35"/>
      <c r="JJ149" s="35"/>
      <c r="JK149" s="35"/>
      <c r="JL149" s="35"/>
      <c r="JM149" s="35"/>
      <c r="JN149" s="35"/>
      <c r="JO149" s="35"/>
      <c r="JP149" s="35"/>
      <c r="JQ149" s="35"/>
      <c r="JR149" s="35"/>
      <c r="JS149" s="35"/>
      <c r="JT149" s="35"/>
      <c r="JU149" s="35"/>
      <c r="JV149" s="35"/>
      <c r="JW149" s="35"/>
      <c r="JX149" s="35"/>
      <c r="JY149" s="35"/>
      <c r="JZ149" s="35"/>
      <c r="KA149" s="35"/>
      <c r="KB149" s="35"/>
      <c r="KC149" s="35"/>
      <c r="KD149" s="35"/>
      <c r="KE149" s="35"/>
      <c r="KF149" s="35"/>
      <c r="KG149" s="35"/>
      <c r="KH149" s="35"/>
      <c r="KI149" s="35"/>
      <c r="KJ149" s="35"/>
      <c r="KK149" s="35"/>
      <c r="KL149" s="35"/>
      <c r="KM149" s="35"/>
      <c r="KN149" s="35"/>
      <c r="KO149" s="35"/>
      <c r="KP149" s="35"/>
      <c r="KQ149" s="35"/>
      <c r="KR149" s="35"/>
      <c r="KS149" s="35"/>
      <c r="KT149" s="35"/>
      <c r="KU149" s="35"/>
      <c r="KV149" s="35"/>
      <c r="KW149" s="35"/>
      <c r="KX149" s="35"/>
      <c r="KY149" s="35"/>
      <c r="KZ149" s="35"/>
      <c r="LA149" s="35"/>
      <c r="LB149" s="35"/>
      <c r="LC149" s="35"/>
      <c r="LD149" s="35"/>
    </row>
    <row r="150" customFormat="false" ht="15" hidden="false" customHeight="false" outlineLevel="0" collapsed="false">
      <c r="A150" s="35" t="s">
        <v>366</v>
      </c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35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  <c r="DL150" s="35"/>
      <c r="DM150" s="35"/>
      <c r="DN150" s="35"/>
      <c r="DO150" s="35"/>
      <c r="DP150" s="35"/>
      <c r="DQ150" s="35"/>
      <c r="DR150" s="35"/>
      <c r="DS150" s="35"/>
      <c r="DT150" s="35"/>
      <c r="DU150" s="35"/>
      <c r="DV150" s="35"/>
      <c r="DW150" s="35"/>
      <c r="DX150" s="35"/>
      <c r="DY150" s="35"/>
      <c r="DZ150" s="35"/>
      <c r="EA150" s="35"/>
      <c r="EB150" s="35"/>
      <c r="EC150" s="35"/>
      <c r="ED150" s="35"/>
      <c r="EE150" s="35"/>
      <c r="EF150" s="35"/>
      <c r="EG150" s="35"/>
      <c r="EH150" s="35"/>
      <c r="EI150" s="35"/>
      <c r="EJ150" s="35"/>
      <c r="EK150" s="35"/>
      <c r="EL150" s="35"/>
      <c r="EM150" s="35"/>
      <c r="EN150" s="35"/>
      <c r="EO150" s="35"/>
      <c r="EP150" s="35"/>
      <c r="EQ150" s="35"/>
      <c r="ER150" s="35"/>
      <c r="ES150" s="35"/>
      <c r="ET150" s="35"/>
      <c r="EU150" s="35"/>
      <c r="EV150" s="35"/>
      <c r="EW150" s="35"/>
      <c r="EX150" s="35"/>
      <c r="EY150" s="35"/>
      <c r="EZ150" s="35"/>
      <c r="FA150" s="35"/>
      <c r="FB150" s="35"/>
      <c r="FC150" s="35"/>
      <c r="FD150" s="35"/>
      <c r="FE150" s="35"/>
      <c r="FF150" s="35"/>
      <c r="FG150" s="35"/>
      <c r="FH150" s="35"/>
      <c r="FI150" s="35"/>
      <c r="FJ150" s="35"/>
      <c r="FK150" s="35"/>
      <c r="FL150" s="35"/>
      <c r="FM150" s="35"/>
      <c r="FN150" s="35"/>
      <c r="FO150" s="35"/>
      <c r="FP150" s="35"/>
      <c r="FQ150" s="35"/>
      <c r="FR150" s="35"/>
      <c r="FS150" s="35"/>
      <c r="FT150" s="35"/>
      <c r="FU150" s="35"/>
      <c r="FV150" s="35"/>
      <c r="FW150" s="35"/>
      <c r="FX150" s="35"/>
      <c r="FY150" s="35"/>
      <c r="FZ150" s="35"/>
      <c r="GA150" s="35"/>
      <c r="GB150" s="35"/>
      <c r="GC150" s="35"/>
      <c r="GD150" s="35"/>
      <c r="GE150" s="35"/>
      <c r="GF150" s="35"/>
      <c r="GG150" s="35"/>
      <c r="GH150" s="35"/>
      <c r="GI150" s="35"/>
      <c r="GJ150" s="35"/>
      <c r="GK150" s="35"/>
      <c r="GL150" s="35"/>
      <c r="GM150" s="35"/>
      <c r="GN150" s="35"/>
      <c r="GO150" s="35"/>
      <c r="GP150" s="35"/>
      <c r="GQ150" s="35"/>
      <c r="GR150" s="35"/>
      <c r="GS150" s="35"/>
      <c r="GT150" s="35"/>
      <c r="GU150" s="35"/>
      <c r="GV150" s="35"/>
      <c r="GW150" s="35"/>
      <c r="GX150" s="35"/>
      <c r="GY150" s="35"/>
      <c r="GZ150" s="35"/>
      <c r="HA150" s="35"/>
      <c r="HB150" s="35"/>
      <c r="HC150" s="35"/>
      <c r="HD150" s="35"/>
      <c r="HE150" s="35"/>
      <c r="HF150" s="35"/>
      <c r="HG150" s="35"/>
      <c r="HH150" s="35"/>
      <c r="HI150" s="35"/>
      <c r="HJ150" s="35"/>
      <c r="HK150" s="35"/>
      <c r="HL150" s="35"/>
      <c r="HM150" s="35"/>
      <c r="HN150" s="35"/>
      <c r="HO150" s="35"/>
      <c r="HP150" s="35"/>
      <c r="HQ150" s="35"/>
      <c r="HR150" s="35"/>
      <c r="HS150" s="35"/>
      <c r="HT150" s="35"/>
      <c r="HU150" s="35"/>
      <c r="HV150" s="35"/>
      <c r="HW150" s="35"/>
      <c r="HX150" s="35"/>
      <c r="HY150" s="35"/>
      <c r="HZ150" s="35"/>
      <c r="IA150" s="35"/>
      <c r="IB150" s="35"/>
      <c r="IC150" s="35"/>
      <c r="ID150" s="35"/>
      <c r="IE150" s="35"/>
      <c r="IF150" s="35"/>
      <c r="IG150" s="35"/>
      <c r="IH150" s="35"/>
      <c r="II150" s="35"/>
      <c r="IJ150" s="35"/>
      <c r="IK150" s="35"/>
      <c r="IL150" s="35"/>
      <c r="IM150" s="35"/>
      <c r="IN150" s="35"/>
      <c r="IO150" s="35"/>
      <c r="IP150" s="35"/>
      <c r="IQ150" s="35"/>
      <c r="IR150" s="35"/>
      <c r="IS150" s="35"/>
      <c r="IT150" s="35"/>
      <c r="IU150" s="35"/>
      <c r="IV150" s="35"/>
      <c r="IW150" s="35"/>
      <c r="IX150" s="35"/>
      <c r="IY150" s="35"/>
      <c r="IZ150" s="35"/>
      <c r="JA150" s="35"/>
      <c r="JB150" s="35"/>
      <c r="JC150" s="35"/>
      <c r="JD150" s="35"/>
      <c r="JE150" s="35"/>
      <c r="JF150" s="35"/>
      <c r="JG150" s="35"/>
      <c r="JH150" s="35"/>
      <c r="JI150" s="35"/>
      <c r="JJ150" s="35"/>
      <c r="JK150" s="35"/>
      <c r="JL150" s="35"/>
      <c r="JM150" s="35"/>
      <c r="JN150" s="35"/>
      <c r="JO150" s="35"/>
      <c r="JP150" s="35"/>
      <c r="JQ150" s="35"/>
      <c r="JR150" s="35"/>
      <c r="JS150" s="35"/>
      <c r="JT150" s="35"/>
      <c r="JU150" s="35"/>
      <c r="JV150" s="35"/>
      <c r="JW150" s="35"/>
      <c r="JX150" s="35"/>
      <c r="JY150" s="35"/>
      <c r="JZ150" s="35"/>
      <c r="KA150" s="35"/>
      <c r="KB150" s="35"/>
      <c r="KC150" s="35"/>
      <c r="KD150" s="35"/>
      <c r="KE150" s="35"/>
      <c r="KF150" s="35"/>
      <c r="KG150" s="35"/>
      <c r="KH150" s="35"/>
      <c r="KI150" s="35"/>
      <c r="KJ150" s="35"/>
      <c r="KK150" s="35"/>
      <c r="KL150" s="35"/>
      <c r="KM150" s="35"/>
      <c r="KN150" s="35"/>
      <c r="KO150" s="35"/>
      <c r="KP150" s="35"/>
      <c r="KQ150" s="35"/>
      <c r="KR150" s="35"/>
      <c r="KS150" s="35"/>
      <c r="KT150" s="35"/>
      <c r="KU150" s="35"/>
      <c r="KV150" s="35"/>
      <c r="KW150" s="35"/>
      <c r="KX150" s="35"/>
      <c r="KY150" s="35"/>
      <c r="KZ150" s="35"/>
      <c r="LA150" s="35"/>
      <c r="LB150" s="35"/>
      <c r="LC150" s="35"/>
      <c r="LD150" s="35"/>
    </row>
    <row r="151" customFormat="false" ht="15" hidden="false" customHeight="false" outlineLevel="0" collapsed="false">
      <c r="A151" s="35" t="s">
        <v>368</v>
      </c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35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  <c r="DL151" s="35"/>
      <c r="DM151" s="35"/>
      <c r="DN151" s="35"/>
      <c r="DO151" s="35"/>
      <c r="DP151" s="35"/>
      <c r="DQ151" s="35"/>
      <c r="DR151" s="35"/>
      <c r="DS151" s="35"/>
      <c r="DT151" s="35"/>
      <c r="DU151" s="35"/>
      <c r="DV151" s="35"/>
      <c r="DW151" s="35"/>
      <c r="DX151" s="35"/>
      <c r="DY151" s="35"/>
      <c r="DZ151" s="35"/>
      <c r="EA151" s="35"/>
      <c r="EB151" s="35"/>
      <c r="EC151" s="35"/>
      <c r="ED151" s="35"/>
      <c r="EE151" s="35"/>
      <c r="EF151" s="35"/>
      <c r="EG151" s="35"/>
      <c r="EH151" s="35"/>
      <c r="EI151" s="35"/>
      <c r="EJ151" s="35"/>
      <c r="EK151" s="35"/>
      <c r="EL151" s="35"/>
      <c r="EM151" s="35"/>
      <c r="EN151" s="35"/>
      <c r="EO151" s="35"/>
      <c r="EP151" s="35"/>
      <c r="EQ151" s="35"/>
      <c r="ER151" s="35"/>
      <c r="ES151" s="35"/>
      <c r="ET151" s="35"/>
      <c r="EU151" s="35"/>
      <c r="EV151" s="35"/>
      <c r="EW151" s="35"/>
      <c r="EX151" s="35"/>
      <c r="EY151" s="35"/>
      <c r="EZ151" s="35"/>
      <c r="FA151" s="35"/>
      <c r="FB151" s="35"/>
      <c r="FC151" s="35"/>
      <c r="FD151" s="35"/>
      <c r="FE151" s="35"/>
      <c r="FF151" s="35"/>
      <c r="FG151" s="35"/>
      <c r="FH151" s="35"/>
      <c r="FI151" s="35"/>
      <c r="FJ151" s="35"/>
      <c r="FK151" s="35"/>
      <c r="FL151" s="35"/>
      <c r="FM151" s="35"/>
      <c r="FN151" s="35"/>
      <c r="FO151" s="35"/>
      <c r="FP151" s="35"/>
      <c r="FQ151" s="35"/>
      <c r="FR151" s="35"/>
      <c r="FS151" s="35"/>
      <c r="FT151" s="35"/>
      <c r="FU151" s="35"/>
      <c r="FV151" s="35"/>
      <c r="FW151" s="35"/>
      <c r="FX151" s="35"/>
      <c r="FY151" s="35"/>
      <c r="FZ151" s="35"/>
      <c r="GA151" s="35"/>
      <c r="GB151" s="35"/>
      <c r="GC151" s="35"/>
      <c r="GD151" s="35"/>
      <c r="GE151" s="35"/>
      <c r="GF151" s="35"/>
      <c r="GG151" s="35"/>
      <c r="GH151" s="35"/>
      <c r="GI151" s="35"/>
      <c r="GJ151" s="35"/>
      <c r="GK151" s="35"/>
      <c r="GL151" s="35"/>
      <c r="GM151" s="35"/>
      <c r="GN151" s="35"/>
      <c r="GO151" s="35"/>
      <c r="GP151" s="35"/>
      <c r="GQ151" s="35"/>
      <c r="GR151" s="35"/>
      <c r="GS151" s="35"/>
      <c r="GT151" s="35"/>
      <c r="GU151" s="35"/>
      <c r="GV151" s="35"/>
      <c r="GW151" s="35"/>
      <c r="GX151" s="35"/>
      <c r="GY151" s="35"/>
      <c r="GZ151" s="35"/>
      <c r="HA151" s="35"/>
      <c r="HB151" s="35"/>
      <c r="HC151" s="35"/>
      <c r="HD151" s="35"/>
      <c r="HE151" s="35"/>
      <c r="HF151" s="35"/>
      <c r="HG151" s="35"/>
      <c r="HH151" s="35"/>
      <c r="HI151" s="35"/>
      <c r="HJ151" s="35"/>
      <c r="HK151" s="35"/>
      <c r="HL151" s="35"/>
      <c r="HM151" s="35"/>
      <c r="HN151" s="35"/>
      <c r="HO151" s="35"/>
      <c r="HP151" s="35"/>
      <c r="HQ151" s="35"/>
      <c r="HR151" s="35"/>
      <c r="HS151" s="35"/>
      <c r="HT151" s="35"/>
      <c r="HU151" s="35"/>
      <c r="HV151" s="35"/>
      <c r="HW151" s="35"/>
      <c r="HX151" s="35"/>
      <c r="HY151" s="35"/>
      <c r="HZ151" s="35"/>
      <c r="IA151" s="35"/>
      <c r="IB151" s="35"/>
      <c r="IC151" s="35"/>
      <c r="ID151" s="35"/>
      <c r="IE151" s="35"/>
      <c r="IF151" s="35"/>
      <c r="IG151" s="35"/>
      <c r="IH151" s="35"/>
      <c r="II151" s="35"/>
      <c r="IJ151" s="35"/>
      <c r="IK151" s="35"/>
      <c r="IL151" s="35"/>
      <c r="IM151" s="35"/>
      <c r="IN151" s="35"/>
      <c r="IO151" s="35"/>
      <c r="IP151" s="35"/>
      <c r="IQ151" s="35"/>
      <c r="IR151" s="35"/>
      <c r="IS151" s="35"/>
      <c r="IT151" s="35"/>
      <c r="IU151" s="35"/>
      <c r="IV151" s="35"/>
      <c r="IW151" s="35"/>
      <c r="IX151" s="35"/>
      <c r="IY151" s="35"/>
      <c r="IZ151" s="35"/>
      <c r="JA151" s="35"/>
      <c r="JB151" s="35"/>
      <c r="JC151" s="35"/>
      <c r="JD151" s="35"/>
      <c r="JE151" s="35"/>
      <c r="JF151" s="35"/>
      <c r="JG151" s="35"/>
      <c r="JH151" s="35"/>
      <c r="JI151" s="35"/>
      <c r="JJ151" s="35"/>
      <c r="JK151" s="35"/>
      <c r="JL151" s="35"/>
      <c r="JM151" s="35"/>
      <c r="JN151" s="35"/>
      <c r="JO151" s="35"/>
      <c r="JP151" s="35"/>
      <c r="JQ151" s="35"/>
      <c r="JR151" s="35"/>
      <c r="JS151" s="35"/>
      <c r="JT151" s="35"/>
      <c r="JU151" s="35"/>
      <c r="JV151" s="35"/>
      <c r="JW151" s="35"/>
      <c r="JX151" s="35"/>
      <c r="JY151" s="35"/>
      <c r="JZ151" s="35"/>
      <c r="KA151" s="35"/>
      <c r="KB151" s="35"/>
      <c r="KC151" s="35"/>
      <c r="KD151" s="35"/>
      <c r="KE151" s="35"/>
      <c r="KF151" s="35"/>
      <c r="KG151" s="35"/>
      <c r="KH151" s="35"/>
      <c r="KI151" s="35"/>
      <c r="KJ151" s="35"/>
      <c r="KK151" s="35"/>
      <c r="KL151" s="35"/>
      <c r="KM151" s="35"/>
      <c r="KN151" s="35"/>
      <c r="KO151" s="35"/>
      <c r="KP151" s="35"/>
      <c r="KQ151" s="35"/>
      <c r="KR151" s="35"/>
      <c r="KS151" s="35"/>
      <c r="KT151" s="35"/>
      <c r="KU151" s="35"/>
      <c r="KV151" s="35"/>
      <c r="KW151" s="35"/>
      <c r="KX151" s="35"/>
      <c r="KY151" s="35"/>
      <c r="KZ151" s="35"/>
      <c r="LA151" s="35"/>
      <c r="LB151" s="35"/>
      <c r="LC151" s="35"/>
      <c r="LD151" s="35"/>
    </row>
    <row r="152" customFormat="false" ht="15" hidden="false" customHeight="false" outlineLevel="0" collapsed="false">
      <c r="A152" s="35" t="s">
        <v>370</v>
      </c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35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  <c r="DL152" s="35"/>
      <c r="DM152" s="35"/>
      <c r="DN152" s="35"/>
      <c r="DO152" s="35"/>
      <c r="DP152" s="35"/>
      <c r="DQ152" s="35"/>
      <c r="DR152" s="35"/>
      <c r="DS152" s="35"/>
      <c r="DT152" s="35"/>
      <c r="DU152" s="35"/>
      <c r="DV152" s="35"/>
      <c r="DW152" s="35"/>
      <c r="DX152" s="35"/>
      <c r="DY152" s="35"/>
      <c r="DZ152" s="35"/>
      <c r="EA152" s="35"/>
      <c r="EB152" s="35"/>
      <c r="EC152" s="35"/>
      <c r="ED152" s="35"/>
      <c r="EE152" s="35"/>
      <c r="EF152" s="35"/>
      <c r="EG152" s="35"/>
      <c r="EH152" s="35"/>
      <c r="EI152" s="35"/>
      <c r="EJ152" s="35"/>
      <c r="EK152" s="35"/>
      <c r="EL152" s="35"/>
      <c r="EM152" s="35"/>
      <c r="EN152" s="35"/>
      <c r="EO152" s="35"/>
      <c r="EP152" s="35"/>
      <c r="EQ152" s="35"/>
      <c r="ER152" s="35"/>
      <c r="ES152" s="35"/>
      <c r="ET152" s="35"/>
      <c r="EU152" s="35"/>
      <c r="EV152" s="35"/>
      <c r="EW152" s="35"/>
      <c r="EX152" s="35"/>
      <c r="EY152" s="35"/>
      <c r="EZ152" s="35"/>
      <c r="FA152" s="35"/>
      <c r="FB152" s="35"/>
      <c r="FC152" s="35"/>
      <c r="FD152" s="35"/>
      <c r="FE152" s="35"/>
      <c r="FF152" s="35"/>
      <c r="FG152" s="35"/>
      <c r="FH152" s="35"/>
      <c r="FI152" s="35"/>
      <c r="FJ152" s="35"/>
      <c r="FK152" s="35"/>
      <c r="FL152" s="35"/>
      <c r="FM152" s="35"/>
      <c r="FN152" s="35"/>
      <c r="FO152" s="35"/>
      <c r="FP152" s="35"/>
      <c r="FQ152" s="35"/>
      <c r="FR152" s="35"/>
      <c r="FS152" s="35"/>
      <c r="FT152" s="35"/>
      <c r="FU152" s="35"/>
      <c r="FV152" s="35"/>
      <c r="FW152" s="35"/>
      <c r="FX152" s="35"/>
      <c r="FY152" s="35"/>
      <c r="FZ152" s="35"/>
      <c r="GA152" s="35"/>
      <c r="GB152" s="35"/>
      <c r="GC152" s="35"/>
      <c r="GD152" s="35"/>
      <c r="GE152" s="35"/>
      <c r="GF152" s="35"/>
      <c r="GG152" s="35"/>
      <c r="GH152" s="35"/>
      <c r="GI152" s="35"/>
      <c r="GJ152" s="35"/>
      <c r="GK152" s="35"/>
      <c r="GL152" s="35"/>
      <c r="GM152" s="35"/>
      <c r="GN152" s="35"/>
      <c r="GO152" s="35"/>
      <c r="GP152" s="35"/>
      <c r="GQ152" s="35"/>
      <c r="GR152" s="35"/>
      <c r="GS152" s="35"/>
      <c r="GT152" s="35"/>
      <c r="GU152" s="35"/>
      <c r="GV152" s="35"/>
      <c r="GW152" s="35"/>
      <c r="GX152" s="35"/>
      <c r="GY152" s="35"/>
      <c r="GZ152" s="35"/>
      <c r="HA152" s="35"/>
      <c r="HB152" s="35"/>
      <c r="HC152" s="35"/>
      <c r="HD152" s="35"/>
      <c r="HE152" s="35"/>
      <c r="HF152" s="35"/>
      <c r="HG152" s="35"/>
      <c r="HH152" s="35"/>
      <c r="HI152" s="35"/>
      <c r="HJ152" s="35"/>
      <c r="HK152" s="35"/>
      <c r="HL152" s="35"/>
      <c r="HM152" s="35"/>
      <c r="HN152" s="35"/>
      <c r="HO152" s="35"/>
      <c r="HP152" s="35"/>
      <c r="HQ152" s="35"/>
      <c r="HR152" s="35"/>
      <c r="HS152" s="35"/>
      <c r="HT152" s="35"/>
      <c r="HU152" s="35"/>
      <c r="HV152" s="35"/>
      <c r="HW152" s="35"/>
      <c r="HX152" s="35"/>
      <c r="HY152" s="35"/>
      <c r="HZ152" s="35"/>
      <c r="IA152" s="35"/>
      <c r="IB152" s="35"/>
      <c r="IC152" s="35"/>
      <c r="ID152" s="35"/>
      <c r="IE152" s="35"/>
      <c r="IF152" s="35"/>
      <c r="IG152" s="35"/>
      <c r="IH152" s="35"/>
      <c r="II152" s="35"/>
      <c r="IJ152" s="35"/>
      <c r="IK152" s="35"/>
      <c r="IL152" s="35"/>
      <c r="IM152" s="35"/>
      <c r="IN152" s="35"/>
      <c r="IO152" s="35"/>
      <c r="IP152" s="35"/>
      <c r="IQ152" s="35"/>
      <c r="IR152" s="35"/>
      <c r="IS152" s="35"/>
      <c r="IT152" s="35"/>
      <c r="IU152" s="35"/>
      <c r="IV152" s="35"/>
      <c r="IW152" s="35"/>
      <c r="IX152" s="35"/>
      <c r="IY152" s="35"/>
      <c r="IZ152" s="35"/>
      <c r="JA152" s="35"/>
      <c r="JB152" s="35"/>
      <c r="JC152" s="35"/>
      <c r="JD152" s="35"/>
      <c r="JE152" s="35"/>
      <c r="JF152" s="35"/>
      <c r="JG152" s="35"/>
      <c r="JH152" s="35"/>
      <c r="JI152" s="35"/>
      <c r="JJ152" s="35"/>
      <c r="JK152" s="35"/>
      <c r="JL152" s="35"/>
      <c r="JM152" s="35"/>
      <c r="JN152" s="35"/>
      <c r="JO152" s="35"/>
      <c r="JP152" s="35"/>
      <c r="JQ152" s="35"/>
      <c r="JR152" s="35"/>
      <c r="JS152" s="35"/>
      <c r="JT152" s="35"/>
      <c r="JU152" s="35"/>
      <c r="JV152" s="35"/>
      <c r="JW152" s="35"/>
      <c r="JX152" s="35"/>
      <c r="JY152" s="35"/>
      <c r="JZ152" s="35"/>
      <c r="KA152" s="35"/>
      <c r="KB152" s="35"/>
      <c r="KC152" s="35"/>
      <c r="KD152" s="35"/>
      <c r="KE152" s="35"/>
      <c r="KF152" s="35"/>
      <c r="KG152" s="35"/>
      <c r="KH152" s="35"/>
      <c r="KI152" s="35"/>
      <c r="KJ152" s="35"/>
      <c r="KK152" s="35"/>
      <c r="KL152" s="35"/>
      <c r="KM152" s="35"/>
      <c r="KN152" s="35"/>
      <c r="KO152" s="35"/>
      <c r="KP152" s="35"/>
      <c r="KQ152" s="35"/>
      <c r="KR152" s="35"/>
      <c r="KS152" s="35"/>
      <c r="KT152" s="35"/>
      <c r="KU152" s="35"/>
      <c r="KV152" s="35"/>
      <c r="KW152" s="35"/>
      <c r="KX152" s="35"/>
      <c r="KY152" s="35"/>
      <c r="KZ152" s="35"/>
      <c r="LA152" s="35"/>
      <c r="LB152" s="35"/>
      <c r="LC152" s="35"/>
      <c r="LD152" s="35"/>
    </row>
    <row r="153" customFormat="false" ht="15" hidden="false" customHeight="false" outlineLevel="0" collapsed="false">
      <c r="A153" s="35" t="s">
        <v>372</v>
      </c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  <c r="DL153" s="35"/>
      <c r="DM153" s="35"/>
      <c r="DN153" s="35"/>
      <c r="DO153" s="35"/>
      <c r="DP153" s="35"/>
      <c r="DQ153" s="35"/>
      <c r="DR153" s="35"/>
      <c r="DS153" s="35"/>
      <c r="DT153" s="35"/>
      <c r="DU153" s="35"/>
      <c r="DV153" s="35"/>
      <c r="DW153" s="35"/>
      <c r="DX153" s="35"/>
      <c r="DY153" s="35"/>
      <c r="DZ153" s="35"/>
      <c r="EA153" s="35"/>
      <c r="EB153" s="35"/>
      <c r="EC153" s="35"/>
      <c r="ED153" s="35"/>
      <c r="EE153" s="35"/>
      <c r="EF153" s="35"/>
      <c r="EG153" s="35"/>
      <c r="EH153" s="35"/>
      <c r="EI153" s="35"/>
      <c r="EJ153" s="35"/>
      <c r="EK153" s="35"/>
      <c r="EL153" s="35"/>
      <c r="EM153" s="35"/>
      <c r="EN153" s="35"/>
      <c r="EO153" s="35"/>
      <c r="EP153" s="35"/>
      <c r="EQ153" s="35"/>
      <c r="ER153" s="35"/>
      <c r="ES153" s="35"/>
      <c r="ET153" s="35"/>
      <c r="EU153" s="35"/>
      <c r="EV153" s="35"/>
      <c r="EW153" s="35"/>
      <c r="EX153" s="35"/>
      <c r="EY153" s="35"/>
      <c r="EZ153" s="35"/>
      <c r="FA153" s="35"/>
      <c r="FB153" s="35"/>
      <c r="FC153" s="35"/>
      <c r="FD153" s="35"/>
      <c r="FE153" s="35"/>
      <c r="FF153" s="35"/>
      <c r="FG153" s="35"/>
      <c r="FH153" s="35"/>
      <c r="FI153" s="35"/>
      <c r="FJ153" s="35"/>
      <c r="FK153" s="35"/>
      <c r="FL153" s="35"/>
      <c r="FM153" s="35"/>
      <c r="FN153" s="35"/>
      <c r="FO153" s="35"/>
      <c r="FP153" s="35"/>
      <c r="FQ153" s="35"/>
      <c r="FR153" s="35"/>
      <c r="FS153" s="35"/>
      <c r="FT153" s="35"/>
      <c r="FU153" s="35"/>
      <c r="FV153" s="35"/>
      <c r="FW153" s="35"/>
      <c r="FX153" s="35"/>
      <c r="FY153" s="35"/>
      <c r="FZ153" s="35"/>
      <c r="GA153" s="35"/>
      <c r="GB153" s="35"/>
      <c r="GC153" s="35"/>
      <c r="GD153" s="35"/>
      <c r="GE153" s="35"/>
      <c r="GF153" s="35"/>
      <c r="GG153" s="35"/>
      <c r="GH153" s="35"/>
      <c r="GI153" s="35"/>
      <c r="GJ153" s="35"/>
      <c r="GK153" s="35"/>
      <c r="GL153" s="35"/>
      <c r="GM153" s="35"/>
      <c r="GN153" s="35"/>
      <c r="GO153" s="35"/>
      <c r="GP153" s="35"/>
      <c r="GQ153" s="35"/>
      <c r="GR153" s="35"/>
      <c r="GS153" s="35"/>
      <c r="GT153" s="35"/>
      <c r="GU153" s="35"/>
      <c r="GV153" s="35"/>
      <c r="GW153" s="35"/>
      <c r="GX153" s="35"/>
      <c r="GY153" s="35"/>
      <c r="GZ153" s="35"/>
      <c r="HA153" s="35"/>
      <c r="HB153" s="35"/>
      <c r="HC153" s="35"/>
      <c r="HD153" s="35"/>
      <c r="HE153" s="35"/>
      <c r="HF153" s="35"/>
      <c r="HG153" s="35"/>
      <c r="HH153" s="35"/>
      <c r="HI153" s="35"/>
      <c r="HJ153" s="35"/>
      <c r="HK153" s="35"/>
      <c r="HL153" s="35"/>
      <c r="HM153" s="35"/>
      <c r="HN153" s="35"/>
      <c r="HO153" s="35"/>
      <c r="HP153" s="35"/>
      <c r="HQ153" s="35"/>
      <c r="HR153" s="35"/>
      <c r="HS153" s="35"/>
      <c r="HT153" s="35"/>
      <c r="HU153" s="35"/>
      <c r="HV153" s="35"/>
      <c r="HW153" s="35"/>
      <c r="HX153" s="35"/>
      <c r="HY153" s="35"/>
      <c r="HZ153" s="35"/>
      <c r="IA153" s="35"/>
      <c r="IB153" s="35"/>
      <c r="IC153" s="35"/>
      <c r="ID153" s="35"/>
      <c r="IE153" s="35"/>
      <c r="IF153" s="35"/>
      <c r="IG153" s="35"/>
      <c r="IH153" s="35"/>
      <c r="II153" s="35"/>
      <c r="IJ153" s="35"/>
      <c r="IK153" s="35"/>
      <c r="IL153" s="35"/>
      <c r="IM153" s="35"/>
      <c r="IN153" s="35"/>
      <c r="IO153" s="35"/>
      <c r="IP153" s="35"/>
      <c r="IQ153" s="35"/>
      <c r="IR153" s="35"/>
      <c r="IS153" s="35"/>
      <c r="IT153" s="35"/>
      <c r="IU153" s="35"/>
      <c r="IV153" s="35"/>
      <c r="IW153" s="35"/>
      <c r="IX153" s="35"/>
      <c r="IY153" s="35"/>
      <c r="IZ153" s="35"/>
      <c r="JA153" s="35"/>
      <c r="JB153" s="35"/>
      <c r="JC153" s="35"/>
      <c r="JD153" s="35"/>
      <c r="JE153" s="35"/>
      <c r="JF153" s="35"/>
      <c r="JG153" s="35"/>
      <c r="JH153" s="35"/>
      <c r="JI153" s="35"/>
      <c r="JJ153" s="35"/>
      <c r="JK153" s="35"/>
      <c r="JL153" s="35"/>
      <c r="JM153" s="35"/>
      <c r="JN153" s="35"/>
      <c r="JO153" s="35"/>
      <c r="JP153" s="35"/>
      <c r="JQ153" s="35"/>
      <c r="JR153" s="35"/>
      <c r="JS153" s="35"/>
      <c r="JT153" s="35"/>
      <c r="JU153" s="35"/>
      <c r="JV153" s="35"/>
      <c r="JW153" s="35"/>
      <c r="JX153" s="35"/>
      <c r="JY153" s="35"/>
      <c r="JZ153" s="35"/>
      <c r="KA153" s="35"/>
      <c r="KB153" s="35"/>
      <c r="KC153" s="35"/>
      <c r="KD153" s="35"/>
      <c r="KE153" s="35"/>
      <c r="KF153" s="35"/>
      <c r="KG153" s="35"/>
      <c r="KH153" s="35"/>
      <c r="KI153" s="35"/>
      <c r="KJ153" s="35"/>
      <c r="KK153" s="35"/>
      <c r="KL153" s="35"/>
      <c r="KM153" s="35"/>
      <c r="KN153" s="35"/>
      <c r="KO153" s="35"/>
      <c r="KP153" s="35"/>
      <c r="KQ153" s="35"/>
      <c r="KR153" s="35"/>
      <c r="KS153" s="35"/>
      <c r="KT153" s="35"/>
      <c r="KU153" s="35"/>
      <c r="KV153" s="35"/>
      <c r="KW153" s="35"/>
      <c r="KX153" s="35"/>
      <c r="KY153" s="35"/>
      <c r="KZ153" s="35"/>
      <c r="LA153" s="35"/>
      <c r="LB153" s="35"/>
      <c r="LC153" s="35"/>
      <c r="LD153" s="35"/>
    </row>
    <row r="154" customFormat="false" ht="15" hidden="false" customHeight="false" outlineLevel="0" collapsed="false">
      <c r="A154" s="35" t="s">
        <v>374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35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  <c r="DL154" s="35"/>
      <c r="DM154" s="35"/>
      <c r="DN154" s="35"/>
      <c r="DO154" s="35"/>
      <c r="DP154" s="35"/>
      <c r="DQ154" s="35"/>
      <c r="DR154" s="35"/>
      <c r="DS154" s="35"/>
      <c r="DT154" s="35"/>
      <c r="DU154" s="35"/>
      <c r="DV154" s="35"/>
      <c r="DW154" s="35"/>
      <c r="DX154" s="35"/>
      <c r="DY154" s="35"/>
      <c r="DZ154" s="35"/>
      <c r="EA154" s="35"/>
      <c r="EB154" s="35"/>
      <c r="EC154" s="35"/>
      <c r="ED154" s="35"/>
      <c r="EE154" s="35"/>
      <c r="EF154" s="35"/>
      <c r="EG154" s="35"/>
      <c r="EH154" s="35"/>
      <c r="EI154" s="35"/>
      <c r="EJ154" s="35"/>
      <c r="EK154" s="35"/>
      <c r="EL154" s="35"/>
      <c r="EM154" s="35"/>
      <c r="EN154" s="35"/>
      <c r="EO154" s="35"/>
      <c r="EP154" s="35"/>
      <c r="EQ154" s="35"/>
      <c r="ER154" s="35"/>
      <c r="ES154" s="35"/>
      <c r="ET154" s="35"/>
      <c r="EU154" s="35"/>
      <c r="EV154" s="35"/>
      <c r="EW154" s="35"/>
      <c r="EX154" s="35"/>
      <c r="EY154" s="35"/>
      <c r="EZ154" s="35"/>
      <c r="FA154" s="35"/>
      <c r="FB154" s="35"/>
      <c r="FC154" s="35"/>
      <c r="FD154" s="35"/>
      <c r="FE154" s="35"/>
      <c r="FF154" s="35"/>
      <c r="FG154" s="35"/>
      <c r="FH154" s="35"/>
      <c r="FI154" s="35"/>
      <c r="FJ154" s="35"/>
      <c r="FK154" s="35"/>
      <c r="FL154" s="35"/>
      <c r="FM154" s="35"/>
      <c r="FN154" s="35"/>
      <c r="FO154" s="35"/>
      <c r="FP154" s="35"/>
      <c r="FQ154" s="35"/>
      <c r="FR154" s="35"/>
      <c r="FS154" s="35"/>
      <c r="FT154" s="35"/>
      <c r="FU154" s="35"/>
      <c r="FV154" s="35"/>
      <c r="FW154" s="35"/>
      <c r="FX154" s="35"/>
      <c r="FY154" s="35"/>
      <c r="FZ154" s="35"/>
      <c r="GA154" s="35"/>
      <c r="GB154" s="35"/>
      <c r="GC154" s="35"/>
      <c r="GD154" s="35"/>
      <c r="GE154" s="35"/>
      <c r="GF154" s="35"/>
      <c r="GG154" s="35"/>
      <c r="GH154" s="35"/>
      <c r="GI154" s="35"/>
      <c r="GJ154" s="35"/>
      <c r="GK154" s="35"/>
      <c r="GL154" s="35"/>
      <c r="GM154" s="35"/>
      <c r="GN154" s="35"/>
      <c r="GO154" s="35"/>
      <c r="GP154" s="35"/>
      <c r="GQ154" s="35"/>
      <c r="GR154" s="35"/>
      <c r="GS154" s="35"/>
      <c r="GT154" s="35"/>
      <c r="GU154" s="35"/>
      <c r="GV154" s="35"/>
      <c r="GW154" s="35"/>
      <c r="GX154" s="35"/>
      <c r="GY154" s="35"/>
      <c r="GZ154" s="35"/>
      <c r="HA154" s="35"/>
      <c r="HB154" s="35"/>
      <c r="HC154" s="35"/>
      <c r="HD154" s="35"/>
      <c r="HE154" s="35"/>
      <c r="HF154" s="35"/>
      <c r="HG154" s="35"/>
      <c r="HH154" s="35"/>
      <c r="HI154" s="35"/>
      <c r="HJ154" s="35"/>
      <c r="HK154" s="35"/>
      <c r="HL154" s="35"/>
      <c r="HM154" s="35"/>
      <c r="HN154" s="35"/>
      <c r="HO154" s="35"/>
      <c r="HP154" s="35"/>
      <c r="HQ154" s="35"/>
      <c r="HR154" s="35"/>
      <c r="HS154" s="35"/>
      <c r="HT154" s="35"/>
      <c r="HU154" s="35"/>
      <c r="HV154" s="35"/>
      <c r="HW154" s="35"/>
      <c r="HX154" s="35"/>
      <c r="HY154" s="35"/>
      <c r="HZ154" s="35"/>
      <c r="IA154" s="35"/>
      <c r="IB154" s="35"/>
      <c r="IC154" s="35"/>
      <c r="ID154" s="35"/>
      <c r="IE154" s="35"/>
      <c r="IF154" s="35"/>
      <c r="IG154" s="35"/>
      <c r="IH154" s="35"/>
      <c r="II154" s="35"/>
      <c r="IJ154" s="35"/>
      <c r="IK154" s="35"/>
      <c r="IL154" s="35"/>
      <c r="IM154" s="35"/>
      <c r="IN154" s="35"/>
      <c r="IO154" s="35"/>
      <c r="IP154" s="35"/>
      <c r="IQ154" s="35"/>
      <c r="IR154" s="35"/>
      <c r="IS154" s="35"/>
      <c r="IT154" s="35"/>
      <c r="IU154" s="35"/>
      <c r="IV154" s="35"/>
      <c r="IW154" s="35"/>
      <c r="IX154" s="35"/>
      <c r="IY154" s="35"/>
      <c r="IZ154" s="35"/>
      <c r="JA154" s="35"/>
      <c r="JB154" s="35"/>
      <c r="JC154" s="35"/>
      <c r="JD154" s="35"/>
      <c r="JE154" s="35"/>
      <c r="JF154" s="35"/>
      <c r="JG154" s="35"/>
      <c r="JH154" s="35"/>
      <c r="JI154" s="35"/>
      <c r="JJ154" s="35"/>
      <c r="JK154" s="35"/>
      <c r="JL154" s="35"/>
      <c r="JM154" s="35"/>
      <c r="JN154" s="35"/>
      <c r="JO154" s="35"/>
      <c r="JP154" s="35"/>
      <c r="JQ154" s="35"/>
      <c r="JR154" s="35"/>
      <c r="JS154" s="35"/>
      <c r="JT154" s="35"/>
      <c r="JU154" s="35"/>
      <c r="JV154" s="35"/>
      <c r="JW154" s="35"/>
      <c r="JX154" s="35"/>
      <c r="JY154" s="35"/>
      <c r="JZ154" s="35"/>
      <c r="KA154" s="35"/>
      <c r="KB154" s="35"/>
      <c r="KC154" s="35"/>
      <c r="KD154" s="35"/>
      <c r="KE154" s="35"/>
      <c r="KF154" s="35"/>
      <c r="KG154" s="35"/>
      <c r="KH154" s="35"/>
      <c r="KI154" s="35"/>
      <c r="KJ154" s="35"/>
      <c r="KK154" s="35"/>
      <c r="KL154" s="35"/>
      <c r="KM154" s="35"/>
      <c r="KN154" s="35"/>
      <c r="KO154" s="35"/>
      <c r="KP154" s="35"/>
      <c r="KQ154" s="35"/>
      <c r="KR154" s="35"/>
      <c r="KS154" s="35"/>
      <c r="KT154" s="35"/>
      <c r="KU154" s="35"/>
      <c r="KV154" s="35"/>
      <c r="KW154" s="35"/>
      <c r="KX154" s="35"/>
      <c r="KY154" s="35"/>
      <c r="KZ154" s="35"/>
      <c r="LA154" s="35"/>
      <c r="LB154" s="35"/>
      <c r="LC154" s="35"/>
      <c r="LD154" s="35"/>
    </row>
    <row r="155" customFormat="false" ht="15" hidden="false" customHeight="false" outlineLevel="0" collapsed="false">
      <c r="A155" s="35" t="s">
        <v>376</v>
      </c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  <c r="DL155" s="35"/>
      <c r="DM155" s="35"/>
      <c r="DN155" s="35"/>
      <c r="DO155" s="35"/>
      <c r="DP155" s="35"/>
      <c r="DQ155" s="35"/>
      <c r="DR155" s="35"/>
      <c r="DS155" s="35"/>
      <c r="DT155" s="35"/>
      <c r="DU155" s="35"/>
      <c r="DV155" s="35"/>
      <c r="DW155" s="35"/>
      <c r="DX155" s="35"/>
      <c r="DY155" s="35"/>
      <c r="DZ155" s="35"/>
      <c r="EA155" s="35"/>
      <c r="EB155" s="35"/>
      <c r="EC155" s="35"/>
      <c r="ED155" s="35"/>
      <c r="EE155" s="35"/>
      <c r="EF155" s="35"/>
      <c r="EG155" s="35"/>
      <c r="EH155" s="35"/>
      <c r="EI155" s="35"/>
      <c r="EJ155" s="35"/>
      <c r="EK155" s="35"/>
      <c r="EL155" s="35"/>
      <c r="EM155" s="35"/>
      <c r="EN155" s="35"/>
      <c r="EO155" s="35"/>
      <c r="EP155" s="35"/>
      <c r="EQ155" s="35"/>
      <c r="ER155" s="35"/>
      <c r="ES155" s="35"/>
      <c r="ET155" s="35"/>
      <c r="EU155" s="35"/>
      <c r="EV155" s="35"/>
      <c r="EW155" s="35"/>
      <c r="EX155" s="35"/>
      <c r="EY155" s="35"/>
      <c r="EZ155" s="35"/>
      <c r="FA155" s="35"/>
      <c r="FB155" s="35"/>
      <c r="FC155" s="35"/>
      <c r="FD155" s="35"/>
      <c r="FE155" s="35"/>
      <c r="FF155" s="35"/>
      <c r="FG155" s="35"/>
      <c r="FH155" s="35"/>
      <c r="FI155" s="35"/>
      <c r="FJ155" s="35"/>
      <c r="FK155" s="35"/>
      <c r="FL155" s="35"/>
      <c r="FM155" s="35"/>
      <c r="FN155" s="35"/>
      <c r="FO155" s="35"/>
      <c r="FP155" s="35"/>
      <c r="FQ155" s="35"/>
      <c r="FR155" s="35"/>
      <c r="FS155" s="35"/>
      <c r="FT155" s="35"/>
      <c r="FU155" s="35"/>
      <c r="FV155" s="35"/>
      <c r="FW155" s="35"/>
      <c r="FX155" s="35"/>
      <c r="FY155" s="35"/>
      <c r="FZ155" s="35"/>
      <c r="GA155" s="35"/>
      <c r="GB155" s="35"/>
      <c r="GC155" s="35"/>
      <c r="GD155" s="35"/>
      <c r="GE155" s="35"/>
      <c r="GF155" s="35"/>
      <c r="GG155" s="35"/>
      <c r="GH155" s="35"/>
      <c r="GI155" s="35"/>
      <c r="GJ155" s="35"/>
      <c r="GK155" s="35"/>
      <c r="GL155" s="35"/>
      <c r="GM155" s="35"/>
      <c r="GN155" s="35"/>
      <c r="GO155" s="35"/>
      <c r="GP155" s="35"/>
      <c r="GQ155" s="35"/>
      <c r="GR155" s="35"/>
      <c r="GS155" s="35"/>
      <c r="GT155" s="35"/>
      <c r="GU155" s="35"/>
      <c r="GV155" s="35"/>
      <c r="GW155" s="35"/>
      <c r="GX155" s="35"/>
      <c r="GY155" s="35"/>
      <c r="GZ155" s="35"/>
      <c r="HA155" s="35"/>
      <c r="HB155" s="35"/>
      <c r="HC155" s="35"/>
      <c r="HD155" s="35"/>
      <c r="HE155" s="35"/>
      <c r="HF155" s="35"/>
      <c r="HG155" s="35"/>
      <c r="HH155" s="35"/>
      <c r="HI155" s="35"/>
      <c r="HJ155" s="35"/>
      <c r="HK155" s="35"/>
      <c r="HL155" s="35"/>
      <c r="HM155" s="35"/>
      <c r="HN155" s="35"/>
      <c r="HO155" s="35"/>
      <c r="HP155" s="35"/>
      <c r="HQ155" s="35"/>
      <c r="HR155" s="35"/>
      <c r="HS155" s="35"/>
      <c r="HT155" s="35"/>
      <c r="HU155" s="35"/>
      <c r="HV155" s="35"/>
      <c r="HW155" s="35"/>
      <c r="HX155" s="35"/>
      <c r="HY155" s="35"/>
      <c r="HZ155" s="35"/>
      <c r="IA155" s="35"/>
      <c r="IB155" s="35"/>
      <c r="IC155" s="35"/>
      <c r="ID155" s="35"/>
      <c r="IE155" s="35"/>
      <c r="IF155" s="35"/>
      <c r="IG155" s="35"/>
      <c r="IH155" s="35"/>
      <c r="II155" s="35"/>
      <c r="IJ155" s="35"/>
      <c r="IK155" s="35"/>
      <c r="IL155" s="35"/>
      <c r="IM155" s="35"/>
      <c r="IN155" s="35"/>
      <c r="IO155" s="35"/>
      <c r="IP155" s="35"/>
      <c r="IQ155" s="35"/>
      <c r="IR155" s="35"/>
      <c r="IS155" s="35"/>
      <c r="IT155" s="35"/>
      <c r="IU155" s="35"/>
      <c r="IV155" s="35"/>
      <c r="IW155" s="35"/>
      <c r="IX155" s="35"/>
      <c r="IY155" s="35"/>
      <c r="IZ155" s="35"/>
      <c r="JA155" s="35"/>
      <c r="JB155" s="35"/>
      <c r="JC155" s="35"/>
      <c r="JD155" s="35"/>
      <c r="JE155" s="35"/>
      <c r="JF155" s="35"/>
      <c r="JG155" s="35"/>
      <c r="JH155" s="35"/>
      <c r="JI155" s="35"/>
      <c r="JJ155" s="35"/>
      <c r="JK155" s="35"/>
      <c r="JL155" s="35"/>
      <c r="JM155" s="35"/>
      <c r="JN155" s="35"/>
      <c r="JO155" s="35"/>
      <c r="JP155" s="35"/>
      <c r="JQ155" s="35"/>
      <c r="JR155" s="35"/>
      <c r="JS155" s="35"/>
      <c r="JT155" s="35"/>
      <c r="JU155" s="35"/>
      <c r="JV155" s="35"/>
      <c r="JW155" s="35"/>
      <c r="JX155" s="35"/>
      <c r="JY155" s="35"/>
      <c r="JZ155" s="35"/>
      <c r="KA155" s="35"/>
      <c r="KB155" s="35"/>
      <c r="KC155" s="35"/>
      <c r="KD155" s="35"/>
      <c r="KE155" s="35"/>
      <c r="KF155" s="35"/>
      <c r="KG155" s="35"/>
      <c r="KH155" s="35"/>
      <c r="KI155" s="35"/>
      <c r="KJ155" s="35"/>
      <c r="KK155" s="35"/>
      <c r="KL155" s="35"/>
      <c r="KM155" s="35"/>
      <c r="KN155" s="35"/>
      <c r="KO155" s="35"/>
      <c r="KP155" s="35"/>
      <c r="KQ155" s="35"/>
      <c r="KR155" s="35"/>
      <c r="KS155" s="35"/>
      <c r="KT155" s="35"/>
      <c r="KU155" s="35"/>
      <c r="KV155" s="35"/>
      <c r="KW155" s="35"/>
      <c r="KX155" s="35"/>
      <c r="KY155" s="35"/>
      <c r="KZ155" s="35"/>
      <c r="LA155" s="35"/>
      <c r="LB155" s="35"/>
      <c r="LC155" s="35"/>
      <c r="LD155" s="35"/>
    </row>
    <row r="156" customFormat="false" ht="15" hidden="false" customHeight="false" outlineLevel="0" collapsed="false">
      <c r="A156" s="35" t="s">
        <v>378</v>
      </c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35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  <c r="DL156" s="35"/>
      <c r="DM156" s="35"/>
      <c r="DN156" s="35"/>
      <c r="DO156" s="35"/>
      <c r="DP156" s="35"/>
      <c r="DQ156" s="35"/>
      <c r="DR156" s="35"/>
      <c r="DS156" s="35"/>
      <c r="DT156" s="35"/>
      <c r="DU156" s="35"/>
      <c r="DV156" s="35"/>
      <c r="DW156" s="35"/>
      <c r="DX156" s="35"/>
      <c r="DY156" s="35"/>
      <c r="DZ156" s="35"/>
      <c r="EA156" s="35"/>
      <c r="EB156" s="35"/>
      <c r="EC156" s="35"/>
      <c r="ED156" s="35"/>
      <c r="EE156" s="35"/>
      <c r="EF156" s="35"/>
      <c r="EG156" s="35"/>
      <c r="EH156" s="35"/>
      <c r="EI156" s="35"/>
      <c r="EJ156" s="35"/>
      <c r="EK156" s="35"/>
      <c r="EL156" s="35"/>
      <c r="EM156" s="35"/>
      <c r="EN156" s="35"/>
      <c r="EO156" s="35"/>
      <c r="EP156" s="35"/>
      <c r="EQ156" s="35"/>
      <c r="ER156" s="35"/>
      <c r="ES156" s="35"/>
      <c r="ET156" s="35"/>
      <c r="EU156" s="35"/>
      <c r="EV156" s="35"/>
      <c r="EW156" s="35"/>
      <c r="EX156" s="35"/>
      <c r="EY156" s="35"/>
      <c r="EZ156" s="35"/>
      <c r="FA156" s="35"/>
      <c r="FB156" s="35"/>
      <c r="FC156" s="35"/>
      <c r="FD156" s="35"/>
      <c r="FE156" s="35"/>
      <c r="FF156" s="35"/>
      <c r="FG156" s="35"/>
      <c r="FH156" s="35"/>
      <c r="FI156" s="35"/>
      <c r="FJ156" s="35"/>
      <c r="FK156" s="35"/>
      <c r="FL156" s="35"/>
      <c r="FM156" s="35"/>
      <c r="FN156" s="35"/>
      <c r="FO156" s="35"/>
      <c r="FP156" s="35"/>
      <c r="FQ156" s="35"/>
      <c r="FR156" s="35"/>
      <c r="FS156" s="35"/>
      <c r="FT156" s="35"/>
      <c r="FU156" s="35"/>
      <c r="FV156" s="35"/>
      <c r="FW156" s="35"/>
      <c r="FX156" s="35"/>
      <c r="FY156" s="35"/>
      <c r="FZ156" s="35"/>
      <c r="GA156" s="35"/>
      <c r="GB156" s="35"/>
      <c r="GC156" s="35"/>
      <c r="GD156" s="35"/>
      <c r="GE156" s="35"/>
      <c r="GF156" s="35"/>
      <c r="GG156" s="35"/>
      <c r="GH156" s="35"/>
      <c r="GI156" s="35"/>
      <c r="GJ156" s="35"/>
      <c r="GK156" s="35"/>
      <c r="GL156" s="35"/>
      <c r="GM156" s="35"/>
      <c r="GN156" s="35"/>
      <c r="GO156" s="35"/>
      <c r="GP156" s="35"/>
      <c r="GQ156" s="35"/>
      <c r="GR156" s="35"/>
      <c r="GS156" s="35"/>
      <c r="GT156" s="35"/>
      <c r="GU156" s="35"/>
      <c r="GV156" s="35"/>
      <c r="GW156" s="35"/>
      <c r="GX156" s="35"/>
      <c r="GY156" s="35"/>
      <c r="GZ156" s="35"/>
      <c r="HA156" s="35"/>
      <c r="HB156" s="35"/>
      <c r="HC156" s="35"/>
      <c r="HD156" s="35"/>
      <c r="HE156" s="35"/>
      <c r="HF156" s="35"/>
      <c r="HG156" s="35"/>
      <c r="HH156" s="35"/>
      <c r="HI156" s="35"/>
      <c r="HJ156" s="35"/>
      <c r="HK156" s="35"/>
      <c r="HL156" s="35"/>
      <c r="HM156" s="35"/>
      <c r="HN156" s="35"/>
      <c r="HO156" s="35"/>
      <c r="HP156" s="35"/>
      <c r="HQ156" s="35"/>
      <c r="HR156" s="35"/>
      <c r="HS156" s="35"/>
      <c r="HT156" s="35"/>
      <c r="HU156" s="35"/>
      <c r="HV156" s="35"/>
      <c r="HW156" s="35"/>
      <c r="HX156" s="35"/>
      <c r="HY156" s="35"/>
      <c r="HZ156" s="35"/>
      <c r="IA156" s="35"/>
      <c r="IB156" s="35"/>
      <c r="IC156" s="35"/>
      <c r="ID156" s="35"/>
      <c r="IE156" s="35"/>
      <c r="IF156" s="35"/>
      <c r="IG156" s="35"/>
      <c r="IH156" s="35"/>
      <c r="II156" s="35"/>
      <c r="IJ156" s="35"/>
      <c r="IK156" s="35"/>
      <c r="IL156" s="35"/>
      <c r="IM156" s="35"/>
      <c r="IN156" s="35"/>
      <c r="IO156" s="35"/>
      <c r="IP156" s="35"/>
      <c r="IQ156" s="35"/>
      <c r="IR156" s="35"/>
      <c r="IS156" s="35"/>
      <c r="IT156" s="35"/>
      <c r="IU156" s="35"/>
      <c r="IV156" s="35"/>
      <c r="IW156" s="35"/>
      <c r="IX156" s="35"/>
      <c r="IY156" s="35"/>
      <c r="IZ156" s="35"/>
      <c r="JA156" s="35"/>
      <c r="JB156" s="35"/>
      <c r="JC156" s="35"/>
      <c r="JD156" s="35"/>
      <c r="JE156" s="35"/>
      <c r="JF156" s="35"/>
      <c r="JG156" s="35"/>
      <c r="JH156" s="35"/>
      <c r="JI156" s="35"/>
      <c r="JJ156" s="35"/>
      <c r="JK156" s="35"/>
      <c r="JL156" s="35"/>
      <c r="JM156" s="35"/>
      <c r="JN156" s="35"/>
      <c r="JO156" s="35"/>
      <c r="JP156" s="35"/>
      <c r="JQ156" s="35"/>
      <c r="JR156" s="35"/>
      <c r="JS156" s="35"/>
      <c r="JT156" s="35"/>
      <c r="JU156" s="35"/>
      <c r="JV156" s="35"/>
      <c r="JW156" s="35"/>
      <c r="JX156" s="35"/>
      <c r="JY156" s="35"/>
      <c r="JZ156" s="35"/>
      <c r="KA156" s="35"/>
      <c r="KB156" s="35"/>
      <c r="KC156" s="35"/>
      <c r="KD156" s="35"/>
      <c r="KE156" s="35"/>
      <c r="KF156" s="35"/>
      <c r="KG156" s="35"/>
      <c r="KH156" s="35"/>
      <c r="KI156" s="35"/>
      <c r="KJ156" s="35"/>
      <c r="KK156" s="35"/>
      <c r="KL156" s="35"/>
      <c r="KM156" s="35"/>
      <c r="KN156" s="35"/>
      <c r="KO156" s="35"/>
      <c r="KP156" s="35"/>
      <c r="KQ156" s="35"/>
      <c r="KR156" s="35"/>
      <c r="KS156" s="35"/>
      <c r="KT156" s="35"/>
      <c r="KU156" s="35"/>
      <c r="KV156" s="35"/>
      <c r="KW156" s="35"/>
      <c r="KX156" s="35"/>
      <c r="KY156" s="35"/>
      <c r="KZ156" s="35"/>
      <c r="LA156" s="35"/>
      <c r="LB156" s="35"/>
      <c r="LC156" s="35"/>
      <c r="LD156" s="35"/>
    </row>
    <row r="157" customFormat="false" ht="15" hidden="false" customHeight="false" outlineLevel="0" collapsed="false">
      <c r="A157" s="35" t="s">
        <v>380</v>
      </c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35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5"/>
      <c r="BU157" s="35"/>
      <c r="BV157" s="35"/>
      <c r="BW157" s="35"/>
      <c r="BX157" s="35"/>
      <c r="BY157" s="35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  <c r="DL157" s="35"/>
      <c r="DM157" s="35"/>
      <c r="DN157" s="35"/>
      <c r="DO157" s="35"/>
      <c r="DP157" s="35"/>
      <c r="DQ157" s="35"/>
      <c r="DR157" s="35"/>
      <c r="DS157" s="35"/>
      <c r="DT157" s="35"/>
      <c r="DU157" s="35"/>
      <c r="DV157" s="35"/>
      <c r="DW157" s="35"/>
      <c r="DX157" s="35"/>
      <c r="DY157" s="35"/>
      <c r="DZ157" s="35"/>
      <c r="EA157" s="35"/>
      <c r="EB157" s="35"/>
      <c r="EC157" s="35"/>
      <c r="ED157" s="35"/>
      <c r="EE157" s="35"/>
      <c r="EF157" s="35"/>
      <c r="EG157" s="35"/>
      <c r="EH157" s="35"/>
      <c r="EI157" s="35"/>
      <c r="EJ157" s="35"/>
      <c r="EK157" s="35"/>
      <c r="EL157" s="35"/>
      <c r="EM157" s="35"/>
      <c r="EN157" s="35"/>
      <c r="EO157" s="35"/>
      <c r="EP157" s="35"/>
      <c r="EQ157" s="35"/>
      <c r="ER157" s="35"/>
      <c r="ES157" s="35"/>
      <c r="ET157" s="35"/>
      <c r="EU157" s="35"/>
      <c r="EV157" s="35"/>
      <c r="EW157" s="35"/>
      <c r="EX157" s="35"/>
      <c r="EY157" s="35"/>
      <c r="EZ157" s="35"/>
      <c r="FA157" s="35"/>
      <c r="FB157" s="35"/>
      <c r="FC157" s="35"/>
      <c r="FD157" s="35"/>
      <c r="FE157" s="35"/>
      <c r="FF157" s="35"/>
      <c r="FG157" s="35"/>
      <c r="FH157" s="35"/>
      <c r="FI157" s="35"/>
      <c r="FJ157" s="35"/>
      <c r="FK157" s="35"/>
      <c r="FL157" s="35"/>
      <c r="FM157" s="35"/>
      <c r="FN157" s="35"/>
      <c r="FO157" s="35"/>
      <c r="FP157" s="35"/>
      <c r="FQ157" s="35"/>
      <c r="FR157" s="35"/>
      <c r="FS157" s="35"/>
      <c r="FT157" s="35"/>
      <c r="FU157" s="35"/>
      <c r="FV157" s="35"/>
      <c r="FW157" s="35"/>
      <c r="FX157" s="35"/>
      <c r="FY157" s="35"/>
      <c r="FZ157" s="35"/>
      <c r="GA157" s="35"/>
      <c r="GB157" s="35"/>
      <c r="GC157" s="35"/>
      <c r="GD157" s="35"/>
      <c r="GE157" s="35"/>
      <c r="GF157" s="35"/>
      <c r="GG157" s="35"/>
      <c r="GH157" s="35"/>
      <c r="GI157" s="35"/>
      <c r="GJ157" s="35"/>
      <c r="GK157" s="35"/>
      <c r="GL157" s="35"/>
      <c r="GM157" s="35"/>
      <c r="GN157" s="35"/>
      <c r="GO157" s="35"/>
      <c r="GP157" s="35"/>
      <c r="GQ157" s="35"/>
      <c r="GR157" s="35"/>
      <c r="GS157" s="35"/>
      <c r="GT157" s="35"/>
      <c r="GU157" s="35"/>
      <c r="GV157" s="35"/>
      <c r="GW157" s="35"/>
      <c r="GX157" s="35"/>
      <c r="GY157" s="35"/>
      <c r="GZ157" s="35"/>
      <c r="HA157" s="35"/>
      <c r="HB157" s="35"/>
      <c r="HC157" s="35"/>
      <c r="HD157" s="35"/>
      <c r="HE157" s="35"/>
      <c r="HF157" s="35"/>
      <c r="HG157" s="35"/>
      <c r="HH157" s="35"/>
      <c r="HI157" s="35"/>
      <c r="HJ157" s="35"/>
      <c r="HK157" s="35"/>
      <c r="HL157" s="35"/>
      <c r="HM157" s="35"/>
      <c r="HN157" s="35"/>
      <c r="HO157" s="35"/>
      <c r="HP157" s="35"/>
      <c r="HQ157" s="35"/>
      <c r="HR157" s="35"/>
      <c r="HS157" s="35"/>
      <c r="HT157" s="35"/>
      <c r="HU157" s="35"/>
      <c r="HV157" s="35"/>
      <c r="HW157" s="35"/>
      <c r="HX157" s="35"/>
      <c r="HY157" s="35"/>
      <c r="HZ157" s="35"/>
      <c r="IA157" s="35"/>
      <c r="IB157" s="35"/>
      <c r="IC157" s="35"/>
      <c r="ID157" s="35"/>
      <c r="IE157" s="35"/>
      <c r="IF157" s="35"/>
      <c r="IG157" s="35"/>
      <c r="IH157" s="35"/>
      <c r="II157" s="35"/>
      <c r="IJ157" s="35"/>
      <c r="IK157" s="35"/>
      <c r="IL157" s="35"/>
      <c r="IM157" s="35"/>
      <c r="IN157" s="35"/>
      <c r="IO157" s="35"/>
      <c r="IP157" s="35"/>
      <c r="IQ157" s="35"/>
      <c r="IR157" s="35"/>
      <c r="IS157" s="35"/>
      <c r="IT157" s="35"/>
      <c r="IU157" s="35"/>
      <c r="IV157" s="35"/>
      <c r="IW157" s="35"/>
      <c r="IX157" s="35"/>
      <c r="IY157" s="35"/>
      <c r="IZ157" s="35"/>
      <c r="JA157" s="35"/>
      <c r="JB157" s="35"/>
      <c r="JC157" s="35"/>
      <c r="JD157" s="35"/>
      <c r="JE157" s="35"/>
      <c r="JF157" s="35"/>
      <c r="JG157" s="35"/>
      <c r="JH157" s="35"/>
      <c r="JI157" s="35"/>
      <c r="JJ157" s="35"/>
      <c r="JK157" s="35"/>
      <c r="JL157" s="35"/>
      <c r="JM157" s="35"/>
      <c r="JN157" s="35"/>
      <c r="JO157" s="35"/>
      <c r="JP157" s="35"/>
      <c r="JQ157" s="35"/>
      <c r="JR157" s="35"/>
      <c r="JS157" s="35"/>
      <c r="JT157" s="35"/>
      <c r="JU157" s="35"/>
      <c r="JV157" s="35"/>
      <c r="JW157" s="35"/>
      <c r="JX157" s="35"/>
      <c r="JY157" s="35"/>
      <c r="JZ157" s="35"/>
      <c r="KA157" s="35"/>
      <c r="KB157" s="35"/>
      <c r="KC157" s="35"/>
      <c r="KD157" s="35"/>
      <c r="KE157" s="35"/>
      <c r="KF157" s="35"/>
      <c r="KG157" s="35"/>
      <c r="KH157" s="35"/>
      <c r="KI157" s="35"/>
      <c r="KJ157" s="35"/>
      <c r="KK157" s="35"/>
      <c r="KL157" s="35"/>
      <c r="KM157" s="35"/>
      <c r="KN157" s="35"/>
      <c r="KO157" s="35"/>
      <c r="KP157" s="35"/>
      <c r="KQ157" s="35"/>
      <c r="KR157" s="35"/>
      <c r="KS157" s="35"/>
      <c r="KT157" s="35"/>
      <c r="KU157" s="35"/>
      <c r="KV157" s="35"/>
      <c r="KW157" s="35"/>
      <c r="KX157" s="35"/>
      <c r="KY157" s="35"/>
      <c r="KZ157" s="35"/>
      <c r="LA157" s="35"/>
      <c r="LB157" s="35"/>
      <c r="LC157" s="35"/>
      <c r="LD157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15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E21" activeCellId="0" sqref="E21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40.71"/>
    <col collapsed="false" customWidth="true" hidden="false" outlineLevel="0" max="74" min="3" style="1" width="10.71"/>
    <col collapsed="false" customWidth="true" hidden="false" outlineLevel="0" max="75" min="75" style="1" width="20.85"/>
    <col collapsed="false" customWidth="true" hidden="false" outlineLevel="0" max="93" min="76" style="1" width="10.71"/>
    <col collapsed="false" customWidth="false" hidden="false" outlineLevel="0" max="16384" min="94" style="1" width="9.14"/>
  </cols>
  <sheetData>
    <row r="1" customFormat="false" ht="15" hidden="false" customHeight="false" outlineLevel="0" collapsed="false">
      <c r="A1" s="36" t="s">
        <v>0</v>
      </c>
      <c r="C1" s="1" t="str">
        <f aca="false">CONCATENATE(mapping_overview!D1, "_11")</f>
        <v>0000_11</v>
      </c>
      <c r="D1" s="1" t="str">
        <f aca="false">CONCATENATE(mapping_overview!E1, "_11")</f>
        <v>0100_11</v>
      </c>
      <c r="E1" s="1" t="str">
        <f aca="false">CONCATENATE(mapping_overview!F1, "_11")</f>
        <v>0200_11</v>
      </c>
      <c r="F1" s="1" t="str">
        <f aca="false">CONCATENATE(mapping_overview!G1, "_11")</f>
        <v>0204_11</v>
      </c>
      <c r="G1" s="1" t="str">
        <f aca="false">CONCATENATE(mapping_overview!H1, "_11")</f>
        <v>0230_11</v>
      </c>
      <c r="H1" s="1" t="str">
        <f aca="false">CONCATENATE(mapping_overview!I1, "_11")</f>
        <v>0300_11</v>
      </c>
      <c r="I1" s="1" t="str">
        <f aca="false">CONCATENATE(mapping_overview!J1, "_11")</f>
        <v>0310_11</v>
      </c>
      <c r="J1" s="1" t="str">
        <f aca="false">CONCATENATE(mapping_overview!K1, "_11")</f>
        <v>0320_11</v>
      </c>
      <c r="K1" s="1" t="str">
        <f aca="false">CONCATENATE(mapping_overview!L1, "_11")</f>
        <v>1000_11</v>
      </c>
      <c r="L1" s="1" t="str">
        <f aca="false">CONCATENATE(mapping_overview!M1, "_11")</f>
        <v>2000_11</v>
      </c>
      <c r="M1" s="1" t="str">
        <f aca="false">CONCATENATE(mapping_overview!N1, "_11")</f>
        <v>3000_11</v>
      </c>
      <c r="N1" s="1" t="str">
        <f aca="false">CONCATENATE(mapping_overview!O1, "_11")</f>
        <v>3100_11</v>
      </c>
      <c r="O1" s="1" t="str">
        <f aca="false">CONCATENATE(mapping_overview!P1, "_11")</f>
        <v>3200_11</v>
      </c>
      <c r="P1" s="1" t="str">
        <f aca="false">CONCATENATE(mapping_overview!Q1, "_11")</f>
        <v>3300_11</v>
      </c>
      <c r="Q1" s="1" t="str">
        <f aca="false">CONCATENATE(mapping_overview!R1, "_11")</f>
        <v>3310_11</v>
      </c>
      <c r="R1" s="1" t="str">
        <f aca="false">CONCATENATE(mapping_overview!S1, "_11")</f>
        <v>3400_11</v>
      </c>
      <c r="S1" s="1" t="str">
        <f aca="false">CONCATENATE(mapping_overview!T1, "_11")</f>
        <v>3430_11</v>
      </c>
      <c r="T1" s="1" t="str">
        <f aca="false">CONCATENATE(mapping_overview!U1, "_11")</f>
        <v>3500_11</v>
      </c>
      <c r="U1" s="1" t="str">
        <f aca="false">CONCATENATE(mapping_overview!V1, "_11")</f>
        <v>3540_11</v>
      </c>
      <c r="V1" s="1" t="str">
        <f aca="false">CONCATENATE(mapping_overview!W1, "_11")</f>
        <v>3600_11</v>
      </c>
      <c r="W1" s="1" t="str">
        <f aca="false">CONCATENATE(mapping_overview!X1, "_11")</f>
        <v>3610_11</v>
      </c>
      <c r="X1" s="1" t="str">
        <f aca="false">CONCATENATE(mapping_overview!Y1, "_11")</f>
        <v>3620_11</v>
      </c>
      <c r="Y1" s="1" t="str">
        <f aca="false">CONCATENATE(mapping_overview!Z1, "_11")</f>
        <v>3630_11</v>
      </c>
      <c r="Z1" s="1" t="str">
        <f aca="false">CONCATENATE(mapping_overview!AA1, "_11")</f>
        <v>3700_11</v>
      </c>
      <c r="AA1" s="1" t="str">
        <f aca="false">CONCATENATE(mapping_overview!AB1, "_11")</f>
        <v>3800_11</v>
      </c>
      <c r="AB1" s="1" t="str">
        <f aca="false">CONCATENATE(mapping_overview!AC1, "_11")</f>
        <v>3830_11</v>
      </c>
      <c r="AC1" s="1" t="str">
        <f aca="false">CONCATENATE(mapping_overview!AD1, "_11")</f>
        <v>3900_11</v>
      </c>
      <c r="AD1" s="1" t="str">
        <f aca="false">CONCATENATE(mapping_overview!AE1, "_11")</f>
        <v>4000_11</v>
      </c>
      <c r="AE1" s="1" t="str">
        <f aca="false">CONCATENATE(mapping_overview!AF1, "_11")</f>
        <v>4100_11</v>
      </c>
      <c r="AF1" s="1" t="str">
        <f aca="false">CONCATENATE(mapping_overview!AG1, "_11")</f>
        <v>4200_11</v>
      </c>
      <c r="AG1" s="1" t="str">
        <f aca="false">CONCATENATE(mapping_overview!AH1, "_11")</f>
        <v>4300_11</v>
      </c>
      <c r="AH1" s="1" t="str">
        <f aca="false">CONCATENATE(mapping_overview!AI1, "_11")</f>
        <v>5000_11</v>
      </c>
      <c r="AI1" s="1" t="str">
        <f aca="false">CONCATENATE(mapping_overview!AJ1, "_11")</f>
        <v>5100_11</v>
      </c>
      <c r="AJ1" s="1" t="str">
        <f aca="false">CONCATENATE(mapping_overview!AK1, "_11")</f>
        <v>5140_11</v>
      </c>
      <c r="AK1" s="1" t="str">
        <f aca="false">CONCATENATE(mapping_overview!AL1, "_11")</f>
        <v>5200_11</v>
      </c>
      <c r="AL1" s="1" t="str">
        <f aca="false">CONCATENATE(mapping_overview!AM1, "_11")</f>
        <v>5300_11</v>
      </c>
      <c r="AM1" s="1" t="str">
        <f aca="false">CONCATENATE(mapping_overview!AN1, "_11")</f>
        <v>6000_11</v>
      </c>
      <c r="AN1" s="1" t="str">
        <f aca="false">CONCATENATE(mapping_overview!AO1, "_11")</f>
        <v>6100_11</v>
      </c>
      <c r="AO1" s="1" t="str">
        <f aca="false">CONCATENATE(mapping_overview!AP1, "_11")</f>
        <v>6200_11</v>
      </c>
      <c r="AP1" s="1" t="str">
        <f aca="false">CONCATENATE(mapping_overview!AQ1, "_11")</f>
        <v>6300_11</v>
      </c>
      <c r="AQ1" s="1" t="str">
        <f aca="false">CONCATENATE(mapping_overview!AR1, "_11")</f>
        <v>7000_11</v>
      </c>
      <c r="AR1" s="1" t="str">
        <f aca="false">CONCATENATE(mapping_overview!AS1, "_11")</f>
        <v>7100_11</v>
      </c>
      <c r="AS1" s="1" t="str">
        <f aca="false">CONCATENATE(mapping_overview!AT1, "_11")</f>
        <v>7130_11</v>
      </c>
      <c r="AT1" s="1" t="str">
        <f aca="false">CONCATENATE(mapping_overview!AU1, "_11")</f>
        <v>7200_11</v>
      </c>
      <c r="AU1" s="1" t="str">
        <f aca="false">CONCATENATE(mapping_overview!AV1, "_11")</f>
        <v>7300_11</v>
      </c>
      <c r="AV1" s="1" t="str">
        <f aca="false">CONCATENATE(mapping_overview!AW1, "_11")</f>
        <v>7330_11</v>
      </c>
      <c r="AW1" s="1" t="str">
        <f aca="false">CONCATENATE(mapping_overview!AX1, "_11")</f>
        <v>8000_11</v>
      </c>
      <c r="AX1" s="1" t="str">
        <f aca="false">CONCATENATE(mapping_overview!AY1, "_11")</f>
        <v>8100_11</v>
      </c>
      <c r="AY1" s="1" t="str">
        <f aca="false">CONCATENATE(mapping_overview!AZ1, "_11")</f>
        <v>8200_11</v>
      </c>
      <c r="AZ1" s="1" t="str">
        <f aca="false">CONCATENATE(mapping_overview!BA1, "_11")</f>
        <v>9900_11</v>
      </c>
    </row>
    <row r="2" customFormat="false" ht="15" hidden="false" customHeight="false" outlineLevel="0" collapsed="false">
      <c r="A2" s="17"/>
      <c r="B2" s="17"/>
      <c r="C2" s="17" t="str">
        <f aca="false">mapping_overview!D2</f>
        <v>Persoonlijke verzorging, ongespecificeerd</v>
      </c>
      <c r="D2" s="17" t="str">
        <f aca="false">mapping_overview!E2</f>
        <v>In bed</v>
      </c>
      <c r="E2" s="17" t="str">
        <f aca="false">mapping_overview!F2</f>
        <v>Eten, ongespecificeerd</v>
      </c>
      <c r="F2" s="17" t="str">
        <f aca="false">mapping_overview!G2</f>
        <v>Eten, ongespecificeerd - werk / school (kantine)</v>
      </c>
      <c r="G2" s="17" t="str">
        <f aca="false">mapping_overview!H2</f>
        <v>Iets drinken, ongespecificeerd</v>
      </c>
      <c r="H2" s="17" t="str">
        <f aca="false">mapping_overview!I2</f>
        <v>Overige persoonlijke verzorging, ongespecificeerd ("verzorgen")</v>
      </c>
      <c r="I2" s="17" t="str">
        <f aca="false">mapping_overview!J2</f>
        <v>Wassen en aankleden, ongespecificeerd</v>
      </c>
      <c r="J2" s="17" t="str">
        <f aca="false">mapping_overview!K2</f>
        <v>Medische verzorging</v>
      </c>
      <c r="K2" s="17" t="str">
        <f aca="false">mapping_overview!L2</f>
        <v>Betaald werk</v>
      </c>
      <c r="L2" s="17" t="str">
        <f aca="false">mapping_overview!M2</f>
        <v>Studie</v>
      </c>
      <c r="M2" s="17" t="str">
        <f aca="false">mapping_overview!N2</f>
        <v>Huishouden en zorg voor gezin, ongespecificeerd</v>
      </c>
      <c r="N2" s="17" t="str">
        <f aca="false">mapping_overview!O2</f>
        <v>Eten bereiden, ongespecificeerd</v>
      </c>
      <c r="O2" s="17" t="str">
        <f aca="false">mapping_overview!P2</f>
        <v>Huishouden, schoonmaken, ongespecificeerd</v>
      </c>
      <c r="P2" s="17" t="str">
        <f aca="false">mapping_overview!Q2</f>
        <v>Kleding fabricage en onderhoud, ongespecificeerd</v>
      </c>
      <c r="Q2" s="17" t="str">
        <f aca="false">mapping_overview!R2</f>
        <v>Kleren wassen, was ophangen, was opbergen, wasserette, in droger</v>
      </c>
      <c r="R2" s="17" t="str">
        <f aca="false">mapping_overview!S2</f>
        <v>Tuinieren en zorg voor dieren, ongespecificeerd</v>
      </c>
      <c r="S2" s="17" t="str">
        <f aca="false">mapping_overview!T2</f>
        <v>Huisdieren verzorgen (poes, hamster, vis, hond) &amp; Hond uitlaten</v>
      </c>
      <c r="T2" s="17" t="str">
        <f aca="false">mapping_overview!U2</f>
        <v>Doe het zelf en onderhoud, ongespecificeerd (klussen in huis)</v>
      </c>
      <c r="U2" s="17" t="str">
        <f aca="false">mapping_overview!V2</f>
        <v>Onderhoud en reparatie, van vervoersmiddelen, ongespecificeerd</v>
      </c>
      <c r="V2" s="17" t="str">
        <f aca="false">mapping_overview!W2</f>
        <v>Winkels en diensten, ongespecificeerd</v>
      </c>
      <c r="W2" s="17" t="str">
        <f aca="false">mapping_overview!X2</f>
        <v>Boodschappen, winkelen, ongespecificeerd</v>
      </c>
      <c r="X2" s="17" t="str">
        <f aca="false">mapping_overview!Y2</f>
        <v>Commerciele en administratieve diensten, ongespecificeerd</v>
      </c>
      <c r="Y2" s="17" t="str">
        <f aca="false">mapping_overview!Z2</f>
        <v>Persoonlijke diensten, ongespecificeerd</v>
      </c>
      <c r="Z2" s="17" t="str">
        <f aca="false">mapping_overview!AA2</f>
        <v>Huishouden organisatie, ongespecificeerd</v>
      </c>
      <c r="AA2" s="17" t="str">
        <f aca="false">mapping_overview!AB2</f>
        <v>Zorg voor kinderen, ongespecificeerd</v>
      </c>
      <c r="AB2" s="17" t="str">
        <f aca="false">mapping_overview!AC2</f>
        <v>Voorlezen, spelen en praten met kind</v>
      </c>
      <c r="AC2" s="17" t="str">
        <f aca="false">mapping_overview!AD2</f>
        <v>Zorg voor volwassenen ongespecificeerd</v>
      </c>
      <c r="AD2" s="17" t="str">
        <f aca="false">mapping_overview!AE2</f>
        <v>Vrijwilligerswerk, hulp, vergaderingen en religie, ongespecificeerd</v>
      </c>
      <c r="AE2" s="17" t="str">
        <f aca="false">mapping_overview!AF2</f>
        <v>Vrijwilligerswerk voor/in  een organisatie, ongespecificeerd</v>
      </c>
      <c r="AF2" s="17" t="str">
        <f aca="false">mapping_overview!AG2</f>
        <v>Hulp in ander huishouden</v>
      </c>
      <c r="AG2" s="17" t="str">
        <f aca="false">mapping_overview!AH2</f>
        <v>Participatorische activiteiten, ongespecificeerd</v>
      </c>
      <c r="AH2" s="17" t="str">
        <f aca="false">mapping_overview!AI2</f>
        <v>Sociaal leven en vermaak, ongespecificeerd</v>
      </c>
      <c r="AI2" s="17" t="str">
        <f aca="false">mapping_overview!AJ2</f>
        <v>Sociaal leven, ongespecificeerd</v>
      </c>
      <c r="AJ2" s="17" t="str">
        <f aca="false">mapping_overview!AK2</f>
        <v>Telefoon, ongespecificeerd</v>
      </c>
      <c r="AK2" s="17" t="str">
        <f aca="false">mapping_overview!AL2</f>
        <v>Vermaak en cultuur, ongespecificeerd</v>
      </c>
      <c r="AL2" s="17" t="str">
        <f aca="false">mapping_overview!AM2</f>
        <v>Uitrusten</v>
      </c>
      <c r="AM2" s="17" t="str">
        <f aca="false">mapping_overview!AN2</f>
        <v>Sport en lichaamsbeweging, ongespecificeerd</v>
      </c>
      <c r="AN2" s="17" t="str">
        <f aca="false">mapping_overview!AO2</f>
        <v>Actieve vrijetijdsbesteding, ongespecificeerd</v>
      </c>
      <c r="AO2" s="17" t="str">
        <f aca="false">mapping_overview!AP2</f>
        <v>Actieve productieve activiteiten, ongespecificeerd</v>
      </c>
      <c r="AP2" s="17" t="str">
        <f aca="false">mapping_overview!AQ2</f>
        <v>Sport gerelateerde activiteiten</v>
      </c>
      <c r="AQ2" s="17" t="str">
        <f aca="false">mapping_overview!AR2</f>
        <v>Hobby en computeren, ongespecificeerd</v>
      </c>
      <c r="AR2" s="17" t="str">
        <f aca="false">mapping_overview!AS2</f>
        <v>Kunst, amateurkunst en hobbies, ongespecificeerd</v>
      </c>
      <c r="AS2" s="17" t="str">
        <f aca="false">mapping_overview!AT2</f>
        <v>Correspondentie</v>
      </c>
      <c r="AT2" s="17" t="str">
        <f aca="false">mapping_overview!AU2</f>
        <v>Computeren, ongespecificeerd</v>
      </c>
      <c r="AU2" s="17" t="str">
        <f aca="false">mapping_overview!AV2</f>
        <v>Spelletjes, games, ongespecificeerd</v>
      </c>
      <c r="AV2" s="17" t="str">
        <f aca="false">mapping_overview!AW2</f>
        <v>Computer spelen, games</v>
      </c>
      <c r="AW2" s="17" t="str">
        <f aca="false">mapping_overview!AX2</f>
        <v>Massa media, ongespecificeerd</v>
      </c>
      <c r="AX2" s="17" t="str">
        <f aca="false">mapping_overview!AY2</f>
        <v>Lezen, ongespecificeerd</v>
      </c>
      <c r="AY2" s="17" t="str">
        <f aca="false">mapping_overview!AZ2</f>
        <v>Audiovisueel media, ongespecificeerd</v>
      </c>
      <c r="AZ2" s="17" t="str">
        <f aca="false">mapping_overview!BA2</f>
        <v>Overig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</row>
    <row r="3" customFormat="false" ht="15" hidden="false" customHeight="false" outlineLevel="0" collapsed="false">
      <c r="A3" s="17" t="s">
        <v>70</v>
      </c>
      <c r="B3" s="17" t="s">
        <v>71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</row>
    <row r="4" customFormat="false" ht="15" hidden="false" customHeight="false" outlineLevel="0" collapsed="false">
      <c r="A4" s="17" t="s">
        <v>72</v>
      </c>
      <c r="B4" s="17" t="s">
        <v>73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</row>
    <row r="5" customFormat="false" ht="15" hidden="false" customHeight="false" outlineLevel="0" collapsed="false">
      <c r="A5" s="17" t="s">
        <v>74</v>
      </c>
      <c r="B5" s="17" t="s">
        <v>75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</row>
    <row r="6" customFormat="false" ht="15" hidden="false" customHeight="false" outlineLevel="0" collapsed="false">
      <c r="A6" s="17" t="s">
        <v>76</v>
      </c>
      <c r="B6" s="17" t="s">
        <v>77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</row>
    <row r="7" customFormat="false" ht="15" hidden="false" customHeight="false" outlineLevel="0" collapsed="false">
      <c r="A7" s="17" t="s">
        <v>78</v>
      </c>
      <c r="B7" s="17" t="s">
        <v>79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</row>
    <row r="8" customFormat="false" ht="15" hidden="false" customHeight="false" outlineLevel="0" collapsed="false">
      <c r="A8" s="17" t="s">
        <v>80</v>
      </c>
      <c r="B8" s="17" t="s">
        <v>81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</row>
    <row r="9" customFormat="false" ht="15" hidden="false" customHeight="false" outlineLevel="0" collapsed="false">
      <c r="A9" s="17" t="s">
        <v>82</v>
      </c>
      <c r="B9" s="17" t="s">
        <v>83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</row>
    <row r="10" customFormat="false" ht="15" hidden="false" customHeight="false" outlineLevel="0" collapsed="false">
      <c r="A10" s="17" t="s">
        <v>84</v>
      </c>
      <c r="B10" s="17" t="s">
        <v>85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</row>
    <row r="11" customFormat="false" ht="15" hidden="false" customHeight="false" outlineLevel="0" collapsed="false">
      <c r="A11" s="17" t="s">
        <v>86</v>
      </c>
      <c r="B11" s="17" t="s">
        <v>87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</row>
    <row r="12" customFormat="false" ht="15" hidden="false" customHeight="false" outlineLevel="0" collapsed="false">
      <c r="A12" s="17" t="s">
        <v>88</v>
      </c>
      <c r="B12" s="17" t="s">
        <v>89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</row>
    <row r="13" customFormat="false" ht="15" hidden="false" customHeight="false" outlineLevel="0" collapsed="false">
      <c r="A13" s="17" t="s">
        <v>90</v>
      </c>
      <c r="B13" s="17" t="s">
        <v>91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</row>
    <row r="14" customFormat="false" ht="15" hidden="false" customHeight="false" outlineLevel="0" collapsed="false">
      <c r="A14" s="17" t="s">
        <v>92</v>
      </c>
      <c r="B14" s="17" t="s">
        <v>93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</row>
    <row r="15" customFormat="false" ht="15" hidden="false" customHeight="false" outlineLevel="0" collapsed="false">
      <c r="A15" s="17" t="s">
        <v>94</v>
      </c>
      <c r="B15" s="17" t="s">
        <v>95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</row>
    <row r="16" customFormat="false" ht="15" hidden="false" customHeight="false" outlineLevel="0" collapsed="false">
      <c r="A16" s="17" t="s">
        <v>96</v>
      </c>
      <c r="B16" s="17" t="s">
        <v>97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</row>
    <row r="17" customFormat="false" ht="15" hidden="false" customHeight="false" outlineLevel="0" collapsed="false">
      <c r="A17" s="17" t="s">
        <v>98</v>
      </c>
      <c r="B17" s="17" t="s">
        <v>99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</row>
    <row r="18" customFormat="false" ht="15" hidden="false" customHeight="false" outlineLevel="0" collapsed="false">
      <c r="A18" s="17" t="s">
        <v>100</v>
      </c>
      <c r="B18" s="17" t="s">
        <v>101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</row>
    <row r="19" customFormat="false" ht="15" hidden="false" customHeight="false" outlineLevel="0" collapsed="false">
      <c r="A19" s="17" t="s">
        <v>102</v>
      </c>
      <c r="B19" s="17" t="s">
        <v>103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</row>
    <row r="20" customFormat="false" ht="15" hidden="false" customHeight="false" outlineLevel="0" collapsed="false">
      <c r="A20" s="17" t="s">
        <v>104</v>
      </c>
      <c r="B20" s="17" t="s">
        <v>105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</row>
    <row r="21" customFormat="false" ht="15" hidden="false" customHeight="false" outlineLevel="0" collapsed="false">
      <c r="A21" s="17" t="s">
        <v>106</v>
      </c>
      <c r="B21" s="17" t="s">
        <v>107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</row>
    <row r="22" customFormat="false" ht="15" hidden="false" customHeight="false" outlineLevel="0" collapsed="false">
      <c r="A22" s="17" t="s">
        <v>108</v>
      </c>
      <c r="B22" s="17" t="s">
        <v>109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</row>
    <row r="23" customFormat="false" ht="15" hidden="false" customHeight="false" outlineLevel="0" collapsed="false">
      <c r="A23" s="17" t="s">
        <v>110</v>
      </c>
      <c r="B23" s="17" t="s">
        <v>111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</row>
    <row r="24" customFormat="false" ht="15" hidden="false" customHeight="false" outlineLevel="0" collapsed="false">
      <c r="A24" s="17" t="s">
        <v>112</v>
      </c>
      <c r="B24" s="17" t="s">
        <v>113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</row>
    <row r="25" customFormat="false" ht="15" hidden="false" customHeight="false" outlineLevel="0" collapsed="false">
      <c r="A25" s="17" t="s">
        <v>114</v>
      </c>
      <c r="B25" s="17" t="s">
        <v>115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</row>
    <row r="26" customFormat="false" ht="15" hidden="false" customHeight="false" outlineLevel="0" collapsed="false">
      <c r="A26" s="17" t="s">
        <v>116</v>
      </c>
      <c r="B26" s="17" t="s">
        <v>117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</row>
    <row r="27" customFormat="false" ht="15" hidden="false" customHeight="false" outlineLevel="0" collapsed="false">
      <c r="A27" s="17" t="s">
        <v>118</v>
      </c>
      <c r="B27" s="17" t="s">
        <v>119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</row>
    <row r="28" customFormat="false" ht="15" hidden="false" customHeight="false" outlineLevel="0" collapsed="false">
      <c r="A28" s="17" t="s">
        <v>120</v>
      </c>
      <c r="B28" s="17" t="s">
        <v>121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</row>
    <row r="29" customFormat="false" ht="15" hidden="false" customHeight="false" outlineLevel="0" collapsed="false">
      <c r="A29" s="17" t="s">
        <v>122</v>
      </c>
      <c r="B29" s="17" t="s">
        <v>123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</row>
    <row r="30" customFormat="false" ht="15" hidden="false" customHeight="false" outlineLevel="0" collapsed="false">
      <c r="A30" s="17" t="s">
        <v>124</v>
      </c>
      <c r="B30" s="17" t="s">
        <v>125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</row>
    <row r="31" customFormat="false" ht="15" hidden="false" customHeight="false" outlineLevel="0" collapsed="false">
      <c r="A31" s="17" t="s">
        <v>126</v>
      </c>
      <c r="B31" s="17" t="s">
        <v>127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</row>
    <row r="32" customFormat="false" ht="15" hidden="false" customHeight="false" outlineLevel="0" collapsed="false">
      <c r="A32" s="17" t="s">
        <v>128</v>
      </c>
      <c r="B32" s="17" t="s">
        <v>129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</row>
    <row r="33" customFormat="false" ht="15" hidden="false" customHeight="false" outlineLevel="0" collapsed="false">
      <c r="A33" s="17" t="s">
        <v>130</v>
      </c>
      <c r="B33" s="17" t="s">
        <v>131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</row>
    <row r="34" customFormat="false" ht="15" hidden="false" customHeight="false" outlineLevel="0" collapsed="false">
      <c r="A34" s="17" t="s">
        <v>132</v>
      </c>
      <c r="B34" s="17" t="s">
        <v>133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</row>
    <row r="35" customFormat="false" ht="15" hidden="false" customHeight="false" outlineLevel="0" collapsed="false">
      <c r="A35" s="17" t="s">
        <v>134</v>
      </c>
      <c r="B35" s="17" t="s">
        <v>135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</row>
    <row r="36" customFormat="false" ht="15" hidden="false" customHeight="false" outlineLevel="0" collapsed="false">
      <c r="A36" s="17" t="s">
        <v>136</v>
      </c>
      <c r="B36" s="17" t="s">
        <v>137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</row>
    <row r="37" customFormat="false" ht="15" hidden="false" customHeight="false" outlineLevel="0" collapsed="false">
      <c r="A37" s="17" t="s">
        <v>138</v>
      </c>
      <c r="B37" s="17" t="s">
        <v>139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</row>
    <row r="38" customFormat="false" ht="15" hidden="false" customHeight="false" outlineLevel="0" collapsed="false">
      <c r="A38" s="17" t="s">
        <v>140</v>
      </c>
      <c r="B38" s="17" t="s">
        <v>141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</row>
    <row r="39" customFormat="false" ht="15" hidden="false" customHeight="false" outlineLevel="0" collapsed="false">
      <c r="A39" s="17" t="s">
        <v>142</v>
      </c>
      <c r="B39" s="17" t="s">
        <v>143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</row>
    <row r="40" customFormat="false" ht="15" hidden="false" customHeight="false" outlineLevel="0" collapsed="false">
      <c r="A40" s="17" t="s">
        <v>144</v>
      </c>
      <c r="B40" s="17" t="s">
        <v>145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</row>
    <row r="41" customFormat="false" ht="15" hidden="false" customHeight="false" outlineLevel="0" collapsed="false">
      <c r="A41" s="17" t="s">
        <v>146</v>
      </c>
      <c r="B41" s="17" t="s">
        <v>147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</row>
    <row r="42" customFormat="false" ht="15" hidden="false" customHeight="false" outlineLevel="0" collapsed="false">
      <c r="A42" s="17" t="s">
        <v>148</v>
      </c>
      <c r="B42" s="17" t="s">
        <v>149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</row>
    <row r="43" customFormat="false" ht="15" hidden="false" customHeight="false" outlineLevel="0" collapsed="false">
      <c r="A43" s="17" t="s">
        <v>150</v>
      </c>
      <c r="B43" s="17" t="s">
        <v>151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</row>
    <row r="44" customFormat="false" ht="15" hidden="false" customHeight="false" outlineLevel="0" collapsed="false">
      <c r="A44" s="17" t="s">
        <v>152</v>
      </c>
      <c r="B44" s="17" t="s">
        <v>153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</row>
    <row r="45" customFormat="false" ht="15" hidden="false" customHeight="false" outlineLevel="0" collapsed="false">
      <c r="A45" s="17" t="s">
        <v>154</v>
      </c>
      <c r="B45" s="17" t="s">
        <v>155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</row>
    <row r="46" customFormat="false" ht="15" hidden="false" customHeight="false" outlineLevel="0" collapsed="false">
      <c r="A46" s="17" t="s">
        <v>156</v>
      </c>
      <c r="B46" s="17" t="s">
        <v>157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</row>
    <row r="47" customFormat="false" ht="15" hidden="false" customHeight="false" outlineLevel="0" collapsed="false">
      <c r="A47" s="17" t="s">
        <v>158</v>
      </c>
      <c r="B47" s="17" t="s">
        <v>159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</row>
    <row r="48" customFormat="false" ht="15" hidden="false" customHeight="false" outlineLevel="0" collapsed="false">
      <c r="A48" s="17" t="s">
        <v>160</v>
      </c>
      <c r="B48" s="17" t="s">
        <v>161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</row>
    <row r="49" customFormat="false" ht="15" hidden="false" customHeight="false" outlineLevel="0" collapsed="false">
      <c r="A49" s="17" t="s">
        <v>162</v>
      </c>
      <c r="B49" s="17" t="s">
        <v>163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</row>
    <row r="50" customFormat="false" ht="15" hidden="false" customHeight="false" outlineLevel="0" collapsed="false">
      <c r="A50" s="17" t="s">
        <v>164</v>
      </c>
      <c r="B50" s="17" t="s">
        <v>165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</row>
    <row r="51" customFormat="false" ht="15" hidden="false" customHeight="false" outlineLevel="0" collapsed="false">
      <c r="A51" s="17" t="s">
        <v>166</v>
      </c>
      <c r="B51" s="17" t="s">
        <v>167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</row>
    <row r="52" customFormat="false" ht="15" hidden="false" customHeight="false" outlineLevel="0" collapsed="false">
      <c r="A52" s="17" t="s">
        <v>168</v>
      </c>
      <c r="B52" s="17" t="s">
        <v>169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</row>
    <row r="53" customFormat="false" ht="15" hidden="false" customHeight="false" outlineLevel="0" collapsed="false">
      <c r="A53" s="17" t="s">
        <v>170</v>
      </c>
      <c r="B53" s="17" t="s">
        <v>171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</row>
    <row r="54" customFormat="false" ht="15" hidden="false" customHeight="false" outlineLevel="0" collapsed="false">
      <c r="A54" s="17" t="s">
        <v>172</v>
      </c>
      <c r="B54" s="17" t="s">
        <v>173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</row>
    <row r="55" customFormat="false" ht="15" hidden="false" customHeight="false" outlineLevel="0" collapsed="false">
      <c r="A55" s="17" t="s">
        <v>174</v>
      </c>
      <c r="B55" s="17" t="s">
        <v>175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</row>
    <row r="56" customFormat="false" ht="15" hidden="false" customHeight="false" outlineLevel="0" collapsed="false">
      <c r="A56" s="17" t="s">
        <v>176</v>
      </c>
      <c r="B56" s="17" t="s">
        <v>177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</row>
    <row r="57" customFormat="false" ht="15" hidden="false" customHeight="false" outlineLevel="0" collapsed="false">
      <c r="A57" s="17" t="s">
        <v>178</v>
      </c>
      <c r="B57" s="17" t="s">
        <v>179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</row>
    <row r="58" customFormat="false" ht="15" hidden="false" customHeight="false" outlineLevel="0" collapsed="false">
      <c r="A58" s="17" t="s">
        <v>180</v>
      </c>
      <c r="B58" s="17" t="s">
        <v>181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</row>
    <row r="59" customFormat="false" ht="15" hidden="false" customHeight="false" outlineLevel="0" collapsed="false">
      <c r="A59" s="17" t="s">
        <v>182</v>
      </c>
      <c r="B59" s="17" t="s">
        <v>183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</row>
    <row r="60" customFormat="false" ht="15" hidden="false" customHeight="false" outlineLevel="0" collapsed="false">
      <c r="A60" s="17" t="s">
        <v>184</v>
      </c>
      <c r="B60" s="17" t="s">
        <v>185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</row>
    <row r="61" customFormat="false" ht="15" hidden="false" customHeight="false" outlineLevel="0" collapsed="false">
      <c r="A61" s="17" t="s">
        <v>186</v>
      </c>
      <c r="B61" s="17" t="s">
        <v>187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</row>
    <row r="62" customFormat="false" ht="15" hidden="false" customHeight="false" outlineLevel="0" collapsed="false">
      <c r="A62" s="17" t="s">
        <v>188</v>
      </c>
      <c r="B62" s="17" t="s">
        <v>189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</row>
    <row r="63" customFormat="false" ht="15" hidden="false" customHeight="false" outlineLevel="0" collapsed="false">
      <c r="A63" s="17" t="s">
        <v>190</v>
      </c>
      <c r="B63" s="17" t="s">
        <v>191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</row>
    <row r="64" customFormat="false" ht="15" hidden="false" customHeight="false" outlineLevel="0" collapsed="false">
      <c r="A64" s="17" t="s">
        <v>192</v>
      </c>
      <c r="B64" s="17" t="s">
        <v>193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</row>
    <row r="65" customFormat="false" ht="15" hidden="false" customHeight="false" outlineLevel="0" collapsed="false">
      <c r="A65" s="17" t="s">
        <v>194</v>
      </c>
      <c r="B65" s="17" t="s">
        <v>195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</row>
    <row r="66" customFormat="false" ht="15" hidden="false" customHeight="false" outlineLevel="0" collapsed="false">
      <c r="A66" s="17" t="s">
        <v>196</v>
      </c>
      <c r="B66" s="17" t="s">
        <v>197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</row>
    <row r="67" customFormat="false" ht="15" hidden="false" customHeight="false" outlineLevel="0" collapsed="false">
      <c r="A67" s="17" t="s">
        <v>198</v>
      </c>
      <c r="B67" s="17" t="s">
        <v>199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</row>
    <row r="68" customFormat="false" ht="15" hidden="false" customHeight="false" outlineLevel="0" collapsed="false">
      <c r="A68" s="17" t="s">
        <v>200</v>
      </c>
      <c r="B68" s="17" t="s">
        <v>201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</row>
    <row r="69" customFormat="false" ht="15" hidden="false" customHeight="false" outlineLevel="0" collapsed="false">
      <c r="A69" s="17" t="s">
        <v>202</v>
      </c>
      <c r="B69" s="17" t="s">
        <v>203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</row>
    <row r="70" customFormat="false" ht="15" hidden="false" customHeight="false" outlineLevel="0" collapsed="false">
      <c r="A70" s="17" t="s">
        <v>204</v>
      </c>
      <c r="B70" s="17" t="s">
        <v>205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</row>
    <row r="71" customFormat="false" ht="15" hidden="false" customHeight="false" outlineLevel="0" collapsed="false">
      <c r="A71" s="17" t="s">
        <v>206</v>
      </c>
      <c r="B71" s="17" t="s">
        <v>207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</row>
    <row r="72" customFormat="false" ht="15" hidden="false" customHeight="false" outlineLevel="0" collapsed="false">
      <c r="A72" s="17" t="s">
        <v>208</v>
      </c>
      <c r="B72" s="17" t="s">
        <v>209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</row>
    <row r="73" customFormat="false" ht="15" hidden="false" customHeight="false" outlineLevel="0" collapsed="false">
      <c r="A73" s="17" t="s">
        <v>210</v>
      </c>
      <c r="B73" s="17" t="s">
        <v>211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</row>
    <row r="74" customFormat="false" ht="15" hidden="false" customHeight="false" outlineLevel="0" collapsed="false">
      <c r="A74" s="17" t="s">
        <v>212</v>
      </c>
      <c r="B74" s="17" t="s">
        <v>213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</row>
    <row r="75" customFormat="false" ht="15" hidden="false" customHeight="false" outlineLevel="0" collapsed="false">
      <c r="A75" s="17" t="s">
        <v>214</v>
      </c>
      <c r="B75" s="17" t="s">
        <v>215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</row>
    <row r="76" customFormat="false" ht="15" hidden="false" customHeight="false" outlineLevel="0" collapsed="false">
      <c r="A76" s="17" t="s">
        <v>216</v>
      </c>
      <c r="B76" s="17" t="s">
        <v>217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</row>
    <row r="77" customFormat="false" ht="15" hidden="false" customHeight="false" outlineLevel="0" collapsed="false">
      <c r="A77" s="17" t="s">
        <v>218</v>
      </c>
      <c r="B77" s="17" t="s">
        <v>219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</row>
    <row r="78" customFormat="false" ht="15" hidden="false" customHeight="false" outlineLevel="0" collapsed="false">
      <c r="A78" s="17" t="s">
        <v>220</v>
      </c>
      <c r="B78" s="17" t="s">
        <v>221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</row>
    <row r="79" customFormat="false" ht="15" hidden="false" customHeight="false" outlineLevel="0" collapsed="false">
      <c r="A79" s="17" t="s">
        <v>222</v>
      </c>
      <c r="B79" s="17" t="s">
        <v>223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</row>
    <row r="80" customFormat="false" ht="15" hidden="false" customHeight="false" outlineLevel="0" collapsed="false">
      <c r="A80" s="17" t="s">
        <v>224</v>
      </c>
      <c r="B80" s="17" t="s">
        <v>225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</row>
    <row r="81" customFormat="false" ht="15" hidden="false" customHeight="false" outlineLevel="0" collapsed="false">
      <c r="A81" s="17" t="s">
        <v>226</v>
      </c>
      <c r="B81" s="17" t="s">
        <v>227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</row>
    <row r="82" customFormat="false" ht="15" hidden="false" customHeight="false" outlineLevel="0" collapsed="false">
      <c r="A82" s="17" t="s">
        <v>228</v>
      </c>
      <c r="B82" s="17" t="s">
        <v>229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</row>
    <row r="83" customFormat="false" ht="15" hidden="false" customHeight="false" outlineLevel="0" collapsed="false">
      <c r="A83" s="17" t="s">
        <v>230</v>
      </c>
      <c r="B83" s="17" t="s">
        <v>231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</row>
    <row r="84" customFormat="false" ht="15" hidden="false" customHeight="false" outlineLevel="0" collapsed="false">
      <c r="A84" s="17" t="s">
        <v>232</v>
      </c>
      <c r="B84" s="17" t="s">
        <v>233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</row>
    <row r="85" customFormat="false" ht="15" hidden="false" customHeight="false" outlineLevel="0" collapsed="false">
      <c r="A85" s="17" t="s">
        <v>234</v>
      </c>
      <c r="B85" s="17" t="s">
        <v>235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</row>
    <row r="86" customFormat="false" ht="15" hidden="false" customHeight="false" outlineLevel="0" collapsed="false">
      <c r="A86" s="17" t="s">
        <v>236</v>
      </c>
      <c r="B86" s="17" t="s">
        <v>237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</row>
    <row r="87" customFormat="false" ht="15" hidden="false" customHeight="false" outlineLevel="0" collapsed="false">
      <c r="A87" s="17" t="s">
        <v>238</v>
      </c>
      <c r="B87" s="17" t="s">
        <v>239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</row>
    <row r="88" customFormat="false" ht="15" hidden="false" customHeight="false" outlineLevel="0" collapsed="false">
      <c r="A88" s="17" t="s">
        <v>240</v>
      </c>
      <c r="B88" s="17" t="s">
        <v>241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</row>
    <row r="89" customFormat="false" ht="15" hidden="false" customHeight="false" outlineLevel="0" collapsed="false">
      <c r="A89" s="17" t="s">
        <v>242</v>
      </c>
      <c r="B89" s="17" t="s">
        <v>243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</row>
    <row r="90" customFormat="false" ht="15" hidden="false" customHeight="false" outlineLevel="0" collapsed="false">
      <c r="A90" s="17" t="s">
        <v>244</v>
      </c>
      <c r="B90" s="17" t="s">
        <v>245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</row>
    <row r="91" customFormat="false" ht="15" hidden="false" customHeight="false" outlineLevel="0" collapsed="false">
      <c r="A91" s="17" t="s">
        <v>246</v>
      </c>
      <c r="B91" s="17" t="s">
        <v>247</v>
      </c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</row>
    <row r="92" customFormat="false" ht="15" hidden="false" customHeight="false" outlineLevel="0" collapsed="false">
      <c r="A92" s="17" t="s">
        <v>248</v>
      </c>
      <c r="B92" s="17" t="s">
        <v>249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</row>
    <row r="93" customFormat="false" ht="15" hidden="false" customHeight="false" outlineLevel="0" collapsed="false">
      <c r="A93" s="17" t="s">
        <v>250</v>
      </c>
      <c r="B93" s="17" t="s">
        <v>251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</row>
    <row r="94" customFormat="false" ht="15" hidden="false" customHeight="false" outlineLevel="0" collapsed="false">
      <c r="A94" s="17" t="s">
        <v>252</v>
      </c>
      <c r="B94" s="17" t="s">
        <v>253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</row>
    <row r="95" customFormat="false" ht="15" hidden="false" customHeight="false" outlineLevel="0" collapsed="false">
      <c r="A95" s="17" t="s">
        <v>254</v>
      </c>
      <c r="B95" s="17" t="s">
        <v>255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</row>
    <row r="96" customFormat="false" ht="15" hidden="false" customHeight="false" outlineLevel="0" collapsed="false">
      <c r="A96" s="17" t="s">
        <v>256</v>
      </c>
      <c r="B96" s="17" t="s">
        <v>257</v>
      </c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</row>
    <row r="97" customFormat="false" ht="15" hidden="false" customHeight="false" outlineLevel="0" collapsed="false">
      <c r="A97" s="17" t="s">
        <v>258</v>
      </c>
      <c r="B97" s="17" t="s">
        <v>259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</row>
    <row r="98" customFormat="false" ht="15" hidden="false" customHeight="false" outlineLevel="0" collapsed="false">
      <c r="A98" s="17" t="s">
        <v>260</v>
      </c>
      <c r="B98" s="17" t="s">
        <v>261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</row>
    <row r="99" customFormat="false" ht="15" hidden="false" customHeight="false" outlineLevel="0" collapsed="false">
      <c r="A99" s="17" t="s">
        <v>262</v>
      </c>
      <c r="B99" s="17" t="s">
        <v>263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</row>
    <row r="100" customFormat="false" ht="15" hidden="false" customHeight="false" outlineLevel="0" collapsed="false">
      <c r="A100" s="17" t="s">
        <v>264</v>
      </c>
      <c r="B100" s="17" t="s">
        <v>265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</row>
    <row r="101" customFormat="false" ht="15" hidden="false" customHeight="false" outlineLevel="0" collapsed="false">
      <c r="A101" s="17" t="s">
        <v>266</v>
      </c>
      <c r="B101" s="17" t="s">
        <v>267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</row>
    <row r="102" customFormat="false" ht="15" hidden="false" customHeight="false" outlineLevel="0" collapsed="false">
      <c r="A102" s="17" t="s">
        <v>268</v>
      </c>
      <c r="B102" s="17" t="s">
        <v>269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</row>
    <row r="103" customFormat="false" ht="15" hidden="false" customHeight="false" outlineLevel="0" collapsed="false">
      <c r="A103" s="17" t="s">
        <v>270</v>
      </c>
      <c r="B103" s="17" t="s">
        <v>271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</row>
    <row r="104" customFormat="false" ht="15" hidden="false" customHeight="false" outlineLevel="0" collapsed="false">
      <c r="A104" s="17" t="s">
        <v>272</v>
      </c>
      <c r="B104" s="17" t="s">
        <v>273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</row>
    <row r="105" customFormat="false" ht="15" hidden="false" customHeight="false" outlineLevel="0" collapsed="false">
      <c r="A105" s="17" t="s">
        <v>274</v>
      </c>
      <c r="B105" s="17" t="s">
        <v>275</v>
      </c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</row>
    <row r="106" customFormat="false" ht="15" hidden="false" customHeight="false" outlineLevel="0" collapsed="false">
      <c r="A106" s="17" t="s">
        <v>276</v>
      </c>
      <c r="B106" s="17" t="s">
        <v>277</v>
      </c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</row>
    <row r="107" customFormat="false" ht="15" hidden="false" customHeight="false" outlineLevel="0" collapsed="false">
      <c r="A107" s="17" t="s">
        <v>278</v>
      </c>
      <c r="B107" s="17" t="s">
        <v>279</v>
      </c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</row>
    <row r="108" customFormat="false" ht="15" hidden="false" customHeight="false" outlineLevel="0" collapsed="false">
      <c r="A108" s="17" t="s">
        <v>280</v>
      </c>
      <c r="B108" s="17" t="s">
        <v>281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</row>
    <row r="109" customFormat="false" ht="15" hidden="false" customHeight="false" outlineLevel="0" collapsed="false">
      <c r="A109" s="17" t="s">
        <v>282</v>
      </c>
      <c r="B109" s="17" t="s">
        <v>283</v>
      </c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</row>
    <row r="110" customFormat="false" ht="15" hidden="false" customHeight="false" outlineLevel="0" collapsed="false">
      <c r="A110" s="17" t="s">
        <v>284</v>
      </c>
      <c r="B110" s="17" t="s">
        <v>285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</row>
    <row r="111" customFormat="false" ht="15" hidden="false" customHeight="false" outlineLevel="0" collapsed="false">
      <c r="A111" s="17" t="s">
        <v>286</v>
      </c>
      <c r="B111" s="17" t="s">
        <v>287</v>
      </c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</row>
    <row r="112" customFormat="false" ht="15" hidden="false" customHeight="false" outlineLevel="0" collapsed="false">
      <c r="A112" s="17" t="s">
        <v>288</v>
      </c>
      <c r="B112" s="17" t="s">
        <v>289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</row>
    <row r="113" customFormat="false" ht="15" hidden="false" customHeight="false" outlineLevel="0" collapsed="false">
      <c r="A113" s="17" t="s">
        <v>290</v>
      </c>
      <c r="B113" s="17" t="s">
        <v>291</v>
      </c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</row>
    <row r="114" customFormat="false" ht="15" hidden="false" customHeight="false" outlineLevel="0" collapsed="false">
      <c r="A114" s="17" t="s">
        <v>292</v>
      </c>
      <c r="B114" s="17" t="s">
        <v>293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</row>
    <row r="115" customFormat="false" ht="15" hidden="false" customHeight="false" outlineLevel="0" collapsed="false">
      <c r="A115" s="17" t="s">
        <v>294</v>
      </c>
      <c r="B115" s="17" t="s">
        <v>295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</row>
    <row r="116" customFormat="false" ht="15" hidden="false" customHeight="false" outlineLevel="0" collapsed="false">
      <c r="A116" s="17" t="s">
        <v>296</v>
      </c>
      <c r="B116" s="17" t="s">
        <v>297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</row>
    <row r="117" customFormat="false" ht="15" hidden="false" customHeight="false" outlineLevel="0" collapsed="false">
      <c r="A117" s="17" t="s">
        <v>298</v>
      </c>
      <c r="B117" s="17" t="s">
        <v>299</v>
      </c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</row>
    <row r="118" customFormat="false" ht="15" hidden="false" customHeight="false" outlineLevel="0" collapsed="false">
      <c r="A118" s="17" t="s">
        <v>300</v>
      </c>
      <c r="B118" s="17" t="s">
        <v>301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</row>
    <row r="119" customFormat="false" ht="15" hidden="false" customHeight="false" outlineLevel="0" collapsed="false">
      <c r="A119" s="17" t="s">
        <v>302</v>
      </c>
      <c r="B119" s="17" t="s">
        <v>303</v>
      </c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</row>
    <row r="120" customFormat="false" ht="15" hidden="false" customHeight="false" outlineLevel="0" collapsed="false">
      <c r="A120" s="17" t="s">
        <v>304</v>
      </c>
      <c r="B120" s="17" t="s">
        <v>305</v>
      </c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</row>
    <row r="121" customFormat="false" ht="15" hidden="false" customHeight="false" outlineLevel="0" collapsed="false">
      <c r="A121" s="17" t="s">
        <v>306</v>
      </c>
      <c r="B121" s="17" t="s">
        <v>307</v>
      </c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</row>
    <row r="122" customFormat="false" ht="15" hidden="false" customHeight="false" outlineLevel="0" collapsed="false">
      <c r="A122" s="17" t="s">
        <v>308</v>
      </c>
      <c r="B122" s="17" t="s">
        <v>309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</row>
    <row r="123" customFormat="false" ht="15" hidden="false" customHeight="false" outlineLevel="0" collapsed="false">
      <c r="A123" s="17" t="s">
        <v>310</v>
      </c>
      <c r="B123" s="17" t="s">
        <v>311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</row>
    <row r="124" customFormat="false" ht="15" hidden="false" customHeight="false" outlineLevel="0" collapsed="false">
      <c r="A124" s="17" t="s">
        <v>312</v>
      </c>
      <c r="B124" s="17" t="s">
        <v>313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</row>
    <row r="125" customFormat="false" ht="15" hidden="false" customHeight="false" outlineLevel="0" collapsed="false">
      <c r="A125" s="17" t="s">
        <v>314</v>
      </c>
      <c r="B125" s="17" t="s">
        <v>315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</row>
    <row r="126" customFormat="false" ht="15" hidden="false" customHeight="false" outlineLevel="0" collapsed="false">
      <c r="A126" s="17" t="s">
        <v>316</v>
      </c>
      <c r="B126" s="17" t="s">
        <v>317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</row>
    <row r="127" customFormat="false" ht="15" hidden="false" customHeight="false" outlineLevel="0" collapsed="false">
      <c r="A127" s="17" t="s">
        <v>318</v>
      </c>
      <c r="B127" s="17" t="s">
        <v>319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</row>
    <row r="128" customFormat="false" ht="15" hidden="false" customHeight="false" outlineLevel="0" collapsed="false">
      <c r="A128" s="17" t="s">
        <v>320</v>
      </c>
      <c r="B128" s="17" t="s">
        <v>321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</row>
    <row r="129" customFormat="false" ht="15" hidden="false" customHeight="false" outlineLevel="0" collapsed="false">
      <c r="A129" s="17" t="s">
        <v>322</v>
      </c>
      <c r="B129" s="17" t="s">
        <v>323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</row>
    <row r="130" customFormat="false" ht="15" hidden="false" customHeight="false" outlineLevel="0" collapsed="false">
      <c r="A130" s="17" t="s">
        <v>324</v>
      </c>
      <c r="B130" s="17" t="s">
        <v>325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</row>
    <row r="131" customFormat="false" ht="15" hidden="false" customHeight="false" outlineLevel="0" collapsed="false">
      <c r="A131" s="17" t="s">
        <v>326</v>
      </c>
      <c r="B131" s="17" t="s">
        <v>327</v>
      </c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</row>
    <row r="132" customFormat="false" ht="15" hidden="false" customHeight="false" outlineLevel="0" collapsed="false">
      <c r="A132" s="17" t="s">
        <v>328</v>
      </c>
      <c r="B132" s="17" t="s">
        <v>329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</row>
    <row r="133" customFormat="false" ht="15" hidden="false" customHeight="false" outlineLevel="0" collapsed="false">
      <c r="A133" s="17" t="s">
        <v>330</v>
      </c>
      <c r="B133" s="17" t="s">
        <v>331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</row>
    <row r="134" customFormat="false" ht="15" hidden="false" customHeight="false" outlineLevel="0" collapsed="false">
      <c r="A134" s="17" t="s">
        <v>332</v>
      </c>
      <c r="B134" s="17" t="s">
        <v>333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</row>
    <row r="135" customFormat="false" ht="15" hidden="false" customHeight="false" outlineLevel="0" collapsed="false">
      <c r="A135" s="17" t="s">
        <v>334</v>
      </c>
      <c r="B135" s="17" t="s">
        <v>335</v>
      </c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</row>
    <row r="136" customFormat="false" ht="15" hidden="false" customHeight="false" outlineLevel="0" collapsed="false">
      <c r="A136" s="17" t="s">
        <v>336</v>
      </c>
      <c r="B136" s="17" t="s">
        <v>337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</row>
    <row r="137" customFormat="false" ht="15" hidden="false" customHeight="false" outlineLevel="0" collapsed="false">
      <c r="A137" s="17" t="s">
        <v>338</v>
      </c>
      <c r="B137" s="17" t="s">
        <v>339</v>
      </c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</row>
    <row r="138" customFormat="false" ht="15" hidden="false" customHeight="false" outlineLevel="0" collapsed="false">
      <c r="A138" s="17" t="s">
        <v>340</v>
      </c>
      <c r="B138" s="17" t="s">
        <v>341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</row>
    <row r="139" customFormat="false" ht="15" hidden="false" customHeight="false" outlineLevel="0" collapsed="false">
      <c r="A139" s="17" t="s">
        <v>342</v>
      </c>
      <c r="B139" s="17" t="s">
        <v>343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</row>
    <row r="140" customFormat="false" ht="15" hidden="false" customHeight="false" outlineLevel="0" collapsed="false">
      <c r="A140" s="17" t="s">
        <v>344</v>
      </c>
      <c r="B140" s="17" t="s">
        <v>345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</row>
    <row r="141" customFormat="false" ht="15" hidden="false" customHeight="false" outlineLevel="0" collapsed="false">
      <c r="A141" s="17" t="s">
        <v>346</v>
      </c>
      <c r="B141" s="17" t="s">
        <v>347</v>
      </c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</row>
    <row r="142" customFormat="false" ht="15" hidden="false" customHeight="false" outlineLevel="0" collapsed="false">
      <c r="A142" s="17" t="s">
        <v>348</v>
      </c>
      <c r="B142" s="17" t="s">
        <v>349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</row>
    <row r="143" customFormat="false" ht="15" hidden="false" customHeight="false" outlineLevel="0" collapsed="false">
      <c r="A143" s="17" t="s">
        <v>350</v>
      </c>
      <c r="B143" s="17" t="s">
        <v>351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</row>
    <row r="144" customFormat="false" ht="15" hidden="false" customHeight="false" outlineLevel="0" collapsed="false">
      <c r="A144" s="17" t="s">
        <v>352</v>
      </c>
      <c r="B144" s="17" t="s">
        <v>353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</row>
    <row r="145" customFormat="false" ht="15" hidden="false" customHeight="false" outlineLevel="0" collapsed="false">
      <c r="A145" s="17" t="s">
        <v>354</v>
      </c>
      <c r="B145" s="17" t="s">
        <v>355</v>
      </c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</row>
    <row r="146" customFormat="false" ht="15" hidden="false" customHeight="false" outlineLevel="0" collapsed="false">
      <c r="A146" s="17" t="s">
        <v>356</v>
      </c>
      <c r="B146" s="17" t="s">
        <v>357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</row>
    <row r="147" customFormat="false" ht="15" hidden="false" customHeight="false" outlineLevel="0" collapsed="false">
      <c r="A147" s="17" t="s">
        <v>358</v>
      </c>
      <c r="B147" s="17" t="s">
        <v>359</v>
      </c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</row>
    <row r="148" customFormat="false" ht="15" hidden="false" customHeight="false" outlineLevel="0" collapsed="false">
      <c r="A148" s="17" t="s">
        <v>360</v>
      </c>
      <c r="B148" s="17" t="s">
        <v>361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</row>
    <row r="149" customFormat="false" ht="15" hidden="false" customHeight="false" outlineLevel="0" collapsed="false">
      <c r="A149" s="17" t="s">
        <v>362</v>
      </c>
      <c r="B149" s="17" t="s">
        <v>363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</row>
    <row r="150" customFormat="false" ht="15" hidden="false" customHeight="false" outlineLevel="0" collapsed="false">
      <c r="A150" s="17" t="s">
        <v>364</v>
      </c>
      <c r="B150" s="17" t="s">
        <v>365</v>
      </c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</row>
    <row r="151" customFormat="false" ht="15" hidden="false" customHeight="false" outlineLevel="0" collapsed="false">
      <c r="A151" s="17" t="s">
        <v>366</v>
      </c>
      <c r="B151" s="17" t="s">
        <v>367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</row>
    <row r="152" customFormat="false" ht="15" hidden="false" customHeight="false" outlineLevel="0" collapsed="false">
      <c r="A152" s="17" t="s">
        <v>368</v>
      </c>
      <c r="B152" s="17" t="s">
        <v>369</v>
      </c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</row>
    <row r="153" customFormat="false" ht="15" hidden="false" customHeight="false" outlineLevel="0" collapsed="false">
      <c r="A153" s="17" t="s">
        <v>370</v>
      </c>
      <c r="B153" s="17" t="s">
        <v>371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</row>
    <row r="154" customFormat="false" ht="15" hidden="false" customHeight="false" outlineLevel="0" collapsed="false">
      <c r="A154" s="17" t="s">
        <v>372</v>
      </c>
      <c r="B154" s="17" t="s">
        <v>373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</row>
    <row r="155" customFormat="false" ht="15" hidden="false" customHeight="false" outlineLevel="0" collapsed="false">
      <c r="A155" s="17" t="s">
        <v>374</v>
      </c>
      <c r="B155" s="17" t="s">
        <v>375</v>
      </c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</row>
    <row r="156" customFormat="false" ht="15" hidden="false" customHeight="false" outlineLevel="0" collapsed="false">
      <c r="A156" s="17" t="s">
        <v>376</v>
      </c>
      <c r="B156" s="17" t="s">
        <v>377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</row>
    <row r="157" customFormat="false" ht="15" hidden="false" customHeight="false" outlineLevel="0" collapsed="false">
      <c r="A157" s="17" t="s">
        <v>378</v>
      </c>
      <c r="B157" s="17" t="s">
        <v>379</v>
      </c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</row>
    <row r="158" customFormat="false" ht="15" hidden="false" customHeight="false" outlineLevel="0" collapsed="false">
      <c r="A158" s="17" t="s">
        <v>380</v>
      </c>
      <c r="B158" s="17" t="s">
        <v>381</v>
      </c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15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2" topLeftCell="C130" activePane="bottomRight" state="frozen"/>
      <selection pane="topLeft" activeCell="A1" activeCellId="0" sqref="A1"/>
      <selection pane="topRight" activeCell="C1" activeCellId="0" sqref="C1"/>
      <selection pane="bottomLeft" activeCell="A130" activeCellId="0" sqref="A130"/>
      <selection pane="bottomRight" activeCell="F153" activeCellId="0" sqref="F153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40.71"/>
    <col collapsed="false" customWidth="true" hidden="false" outlineLevel="0" max="102" min="3" style="17" width="10.71"/>
    <col collapsed="false" customWidth="false" hidden="false" outlineLevel="0" max="16384" min="103" style="1" width="9.14"/>
  </cols>
  <sheetData>
    <row r="1" customFormat="false" ht="15" hidden="false" customHeight="false" outlineLevel="0" collapsed="false">
      <c r="A1" s="36" t="s">
        <v>0</v>
      </c>
      <c r="B1" s="18"/>
      <c r="C1" s="37" t="str">
        <f aca="false">CONCATENATE(mapping_overview!D1, "_10")</f>
        <v>0000_10</v>
      </c>
      <c r="D1" s="37" t="str">
        <f aca="false">CONCATENATE(mapping_overview!E1, "_10")</f>
        <v>0100_10</v>
      </c>
      <c r="E1" s="37" t="str">
        <f aca="false">CONCATENATE(mapping_overview!F1, "_10")</f>
        <v>0200_10</v>
      </c>
      <c r="F1" s="37" t="str">
        <f aca="false">CONCATENATE(mapping_overview!G1, "_10")</f>
        <v>0204_10</v>
      </c>
      <c r="G1" s="37" t="str">
        <f aca="false">CONCATENATE(mapping_overview!H1, "_10")</f>
        <v>0230_10</v>
      </c>
      <c r="H1" s="37" t="str">
        <f aca="false">CONCATENATE(mapping_overview!I1, "_10")</f>
        <v>0300_10</v>
      </c>
      <c r="I1" s="37" t="str">
        <f aca="false">CONCATENATE(mapping_overview!J1, "_10")</f>
        <v>0310_10</v>
      </c>
      <c r="J1" s="37" t="str">
        <f aca="false">CONCATENATE(mapping_overview!K1, "_10")</f>
        <v>0320_10</v>
      </c>
      <c r="K1" s="37" t="str">
        <f aca="false">CONCATENATE(mapping_overview!L1, "_10")</f>
        <v>1000_10</v>
      </c>
      <c r="L1" s="37" t="str">
        <f aca="false">CONCATENATE(mapping_overview!M1, "_10")</f>
        <v>2000_10</v>
      </c>
      <c r="M1" s="37" t="str">
        <f aca="false">CONCATENATE(mapping_overview!N1, "_10")</f>
        <v>3000_10</v>
      </c>
      <c r="N1" s="37" t="str">
        <f aca="false">CONCATENATE(mapping_overview!O1, "_10")</f>
        <v>3100_10</v>
      </c>
      <c r="O1" s="37" t="str">
        <f aca="false">CONCATENATE(mapping_overview!P1, "_10")</f>
        <v>3200_10</v>
      </c>
      <c r="P1" s="37" t="str">
        <f aca="false">CONCATENATE(mapping_overview!Q1, "_10")</f>
        <v>3300_10</v>
      </c>
      <c r="Q1" s="37" t="str">
        <f aca="false">CONCATENATE(mapping_overview!R1, "_10")</f>
        <v>3310_10</v>
      </c>
      <c r="R1" s="37" t="str">
        <f aca="false">CONCATENATE(mapping_overview!S1, "_10")</f>
        <v>3400_10</v>
      </c>
      <c r="S1" s="37" t="str">
        <f aca="false">CONCATENATE(mapping_overview!T1, "_10")</f>
        <v>3430_10</v>
      </c>
      <c r="T1" s="37" t="str">
        <f aca="false">CONCATENATE(mapping_overview!U1, "_10")</f>
        <v>3500_10</v>
      </c>
      <c r="U1" s="37" t="str">
        <f aca="false">CONCATENATE(mapping_overview!V1, "_10")</f>
        <v>3540_10</v>
      </c>
      <c r="V1" s="37" t="str">
        <f aca="false">CONCATENATE(mapping_overview!W1, "_10")</f>
        <v>3600_10</v>
      </c>
      <c r="W1" s="37" t="str">
        <f aca="false">CONCATENATE(mapping_overview!X1, "_10")</f>
        <v>3610_10</v>
      </c>
      <c r="X1" s="37" t="str">
        <f aca="false">CONCATENATE(mapping_overview!Y1, "_10")</f>
        <v>3620_10</v>
      </c>
      <c r="Y1" s="37" t="str">
        <f aca="false">CONCATENATE(mapping_overview!Z1, "_10")</f>
        <v>3630_10</v>
      </c>
      <c r="Z1" s="37" t="str">
        <f aca="false">CONCATENATE(mapping_overview!AA1, "_10")</f>
        <v>3700_10</v>
      </c>
      <c r="AA1" s="37" t="str">
        <f aca="false">CONCATENATE(mapping_overview!AB1, "_10")</f>
        <v>3800_10</v>
      </c>
      <c r="AB1" s="37" t="str">
        <f aca="false">CONCATENATE(mapping_overview!AC1, "_10")</f>
        <v>3830_10</v>
      </c>
      <c r="AC1" s="37" t="str">
        <f aca="false">CONCATENATE(mapping_overview!AD1, "_10")</f>
        <v>3900_10</v>
      </c>
      <c r="AD1" s="37" t="str">
        <f aca="false">CONCATENATE(mapping_overview!AE1, "_10")</f>
        <v>4000_10</v>
      </c>
      <c r="AE1" s="37" t="str">
        <f aca="false">CONCATENATE(mapping_overview!AF1, "_10")</f>
        <v>4100_10</v>
      </c>
      <c r="AF1" s="37" t="str">
        <f aca="false">CONCATENATE(mapping_overview!AG1, "_10")</f>
        <v>4200_10</v>
      </c>
      <c r="AG1" s="37" t="str">
        <f aca="false">CONCATENATE(mapping_overview!AH1, "_10")</f>
        <v>4300_10</v>
      </c>
      <c r="AH1" s="37" t="str">
        <f aca="false">CONCATENATE(mapping_overview!AI1, "_10")</f>
        <v>5000_10</v>
      </c>
      <c r="AI1" s="37" t="str">
        <f aca="false">CONCATENATE(mapping_overview!AJ1, "_10")</f>
        <v>5100_10</v>
      </c>
      <c r="AJ1" s="37" t="str">
        <f aca="false">CONCATENATE(mapping_overview!AK1, "_10")</f>
        <v>5140_10</v>
      </c>
      <c r="AK1" s="37" t="str">
        <f aca="false">CONCATENATE(mapping_overview!AL1, "_10")</f>
        <v>5200_10</v>
      </c>
      <c r="AL1" s="37" t="str">
        <f aca="false">CONCATENATE(mapping_overview!AM1, "_10")</f>
        <v>5300_10</v>
      </c>
      <c r="AM1" s="37" t="str">
        <f aca="false">CONCATENATE(mapping_overview!AN1, "_10")</f>
        <v>6000_10</v>
      </c>
      <c r="AN1" s="37" t="str">
        <f aca="false">CONCATENATE(mapping_overview!AO1, "_10")</f>
        <v>6100_10</v>
      </c>
      <c r="AO1" s="37" t="str">
        <f aca="false">CONCATENATE(mapping_overview!AP1, "_10")</f>
        <v>6200_10</v>
      </c>
      <c r="AP1" s="37" t="str">
        <f aca="false">CONCATENATE(mapping_overview!AQ1, "_10")</f>
        <v>6300_10</v>
      </c>
      <c r="AQ1" s="37" t="str">
        <f aca="false">CONCATENATE(mapping_overview!AR1, "_10")</f>
        <v>7000_10</v>
      </c>
      <c r="AR1" s="37" t="str">
        <f aca="false">CONCATENATE(mapping_overview!AS1, "_10")</f>
        <v>7100_10</v>
      </c>
      <c r="AS1" s="37" t="str">
        <f aca="false">CONCATENATE(mapping_overview!AT1, "_10")</f>
        <v>7130_10</v>
      </c>
      <c r="AT1" s="37" t="str">
        <f aca="false">CONCATENATE(mapping_overview!AU1, "_10")</f>
        <v>7200_10</v>
      </c>
      <c r="AU1" s="37" t="str">
        <f aca="false">CONCATENATE(mapping_overview!AV1, "_10")</f>
        <v>7300_10</v>
      </c>
      <c r="AV1" s="37" t="str">
        <f aca="false">CONCATENATE(mapping_overview!AW1, "_10")</f>
        <v>7330_10</v>
      </c>
      <c r="AW1" s="37" t="str">
        <f aca="false">CONCATENATE(mapping_overview!AX1, "_10")</f>
        <v>8000_10</v>
      </c>
      <c r="AX1" s="37" t="str">
        <f aca="false">CONCATENATE(mapping_overview!AY1, "_10")</f>
        <v>8100_10</v>
      </c>
      <c r="AY1" s="37" t="str">
        <f aca="false">CONCATENATE(mapping_overview!AZ1, "_10")</f>
        <v>8200_10</v>
      </c>
      <c r="AZ1" s="37" t="str">
        <f aca="false">CONCATENATE(mapping_overview!BA1, "_10")</f>
        <v>9900_10</v>
      </c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</row>
    <row r="2" customFormat="false" ht="15" hidden="false" customHeight="false" outlineLevel="0" collapsed="false">
      <c r="A2" s="17"/>
      <c r="B2" s="17"/>
      <c r="C2" s="17" t="str">
        <f aca="false">mapping_overview!D2</f>
        <v>Persoonlijke verzorging, ongespecificeerd</v>
      </c>
      <c r="D2" s="17" t="str">
        <f aca="false">mapping_overview!E2</f>
        <v>In bed</v>
      </c>
      <c r="E2" s="17" t="str">
        <f aca="false">mapping_overview!F2</f>
        <v>Eten, ongespecificeerd</v>
      </c>
      <c r="F2" s="17" t="str">
        <f aca="false">mapping_overview!G2</f>
        <v>Eten, ongespecificeerd - werk / school (kantine)</v>
      </c>
      <c r="G2" s="17" t="str">
        <f aca="false">mapping_overview!H2</f>
        <v>Iets drinken, ongespecificeerd</v>
      </c>
      <c r="H2" s="17" t="str">
        <f aca="false">mapping_overview!I2</f>
        <v>Overige persoonlijke verzorging, ongespecificeerd ("verzorgen")</v>
      </c>
      <c r="I2" s="17" t="str">
        <f aca="false">mapping_overview!J2</f>
        <v>Wassen en aankleden, ongespecificeerd</v>
      </c>
      <c r="J2" s="17" t="str">
        <f aca="false">mapping_overview!K2</f>
        <v>Medische verzorging</v>
      </c>
      <c r="K2" s="17" t="str">
        <f aca="false">mapping_overview!L2</f>
        <v>Betaald werk</v>
      </c>
      <c r="L2" s="17" t="str">
        <f aca="false">mapping_overview!M2</f>
        <v>Studie</v>
      </c>
      <c r="M2" s="17" t="str">
        <f aca="false">mapping_overview!N2</f>
        <v>Huishouden en zorg voor gezin, ongespecificeerd</v>
      </c>
      <c r="N2" s="17" t="str">
        <f aca="false">mapping_overview!O2</f>
        <v>Eten bereiden, ongespecificeerd</v>
      </c>
      <c r="O2" s="17" t="str">
        <f aca="false">mapping_overview!P2</f>
        <v>Huishouden, schoonmaken, ongespecificeerd</v>
      </c>
      <c r="P2" s="17" t="str">
        <f aca="false">mapping_overview!Q2</f>
        <v>Kleding fabricage en onderhoud, ongespecificeerd</v>
      </c>
      <c r="Q2" s="17" t="str">
        <f aca="false">mapping_overview!R2</f>
        <v>Kleren wassen, was ophangen, was opbergen, wasserette, in droger</v>
      </c>
      <c r="R2" s="17" t="str">
        <f aca="false">mapping_overview!S2</f>
        <v>Tuinieren en zorg voor dieren, ongespecificeerd</v>
      </c>
      <c r="S2" s="17" t="str">
        <f aca="false">mapping_overview!T2</f>
        <v>Huisdieren verzorgen (poes, hamster, vis, hond) &amp; Hond uitlaten</v>
      </c>
      <c r="T2" s="17" t="str">
        <f aca="false">mapping_overview!U2</f>
        <v>Doe het zelf en onderhoud, ongespecificeerd (klussen in huis)</v>
      </c>
      <c r="U2" s="17" t="str">
        <f aca="false">mapping_overview!V2</f>
        <v>Onderhoud en reparatie, van vervoersmiddelen, ongespecificeerd</v>
      </c>
      <c r="V2" s="17" t="str">
        <f aca="false">mapping_overview!W2</f>
        <v>Winkels en diensten, ongespecificeerd</v>
      </c>
      <c r="W2" s="17" t="str">
        <f aca="false">mapping_overview!X2</f>
        <v>Boodschappen, winkelen, ongespecificeerd</v>
      </c>
      <c r="X2" s="17" t="str">
        <f aca="false">mapping_overview!Y2</f>
        <v>Commerciele en administratieve diensten, ongespecificeerd</v>
      </c>
      <c r="Y2" s="17" t="str">
        <f aca="false">mapping_overview!Z2</f>
        <v>Persoonlijke diensten, ongespecificeerd</v>
      </c>
      <c r="Z2" s="17" t="str">
        <f aca="false">mapping_overview!AA2</f>
        <v>Huishouden organisatie, ongespecificeerd</v>
      </c>
      <c r="AA2" s="17" t="str">
        <f aca="false">mapping_overview!AB2</f>
        <v>Zorg voor kinderen, ongespecificeerd</v>
      </c>
      <c r="AB2" s="17" t="str">
        <f aca="false">mapping_overview!AC2</f>
        <v>Voorlezen, spelen en praten met kind</v>
      </c>
      <c r="AC2" s="17" t="str">
        <f aca="false">mapping_overview!AD2</f>
        <v>Zorg voor volwassenen ongespecificeerd</v>
      </c>
      <c r="AD2" s="17" t="str">
        <f aca="false">mapping_overview!AE2</f>
        <v>Vrijwilligerswerk, hulp, vergaderingen en religie, ongespecificeerd</v>
      </c>
      <c r="AE2" s="17" t="str">
        <f aca="false">mapping_overview!AF2</f>
        <v>Vrijwilligerswerk voor/in  een organisatie, ongespecificeerd</v>
      </c>
      <c r="AF2" s="17" t="str">
        <f aca="false">mapping_overview!AG2</f>
        <v>Hulp in ander huishouden</v>
      </c>
      <c r="AG2" s="17" t="str">
        <f aca="false">mapping_overview!AH2</f>
        <v>Participatorische activiteiten, ongespecificeerd</v>
      </c>
      <c r="AH2" s="17" t="str">
        <f aca="false">mapping_overview!AI2</f>
        <v>Sociaal leven en vermaak, ongespecificeerd</v>
      </c>
      <c r="AI2" s="17" t="str">
        <f aca="false">mapping_overview!AJ2</f>
        <v>Sociaal leven, ongespecificeerd</v>
      </c>
      <c r="AJ2" s="17" t="str">
        <f aca="false">mapping_overview!AK2</f>
        <v>Telefoon, ongespecificeerd</v>
      </c>
      <c r="AK2" s="17" t="str">
        <f aca="false">mapping_overview!AL2</f>
        <v>Vermaak en cultuur, ongespecificeerd</v>
      </c>
      <c r="AL2" s="17" t="str">
        <f aca="false">mapping_overview!AM2</f>
        <v>Uitrusten</v>
      </c>
      <c r="AM2" s="17" t="str">
        <f aca="false">mapping_overview!AN2</f>
        <v>Sport en lichaamsbeweging, ongespecificeerd</v>
      </c>
      <c r="AN2" s="17" t="str">
        <f aca="false">mapping_overview!AO2</f>
        <v>Actieve vrijetijdsbesteding, ongespecificeerd</v>
      </c>
      <c r="AO2" s="17" t="str">
        <f aca="false">mapping_overview!AP2</f>
        <v>Actieve productieve activiteiten, ongespecificeerd</v>
      </c>
      <c r="AP2" s="17" t="str">
        <f aca="false">mapping_overview!AQ2</f>
        <v>Sport gerelateerde activiteiten</v>
      </c>
      <c r="AQ2" s="17" t="str">
        <f aca="false">mapping_overview!AR2</f>
        <v>Hobby en computeren, ongespecificeerd</v>
      </c>
      <c r="AR2" s="17" t="str">
        <f aca="false">mapping_overview!AS2</f>
        <v>Kunst, amateurkunst en hobbies, ongespecificeerd</v>
      </c>
      <c r="AS2" s="17" t="str">
        <f aca="false">mapping_overview!AT2</f>
        <v>Correspondentie</v>
      </c>
      <c r="AT2" s="17" t="str">
        <f aca="false">mapping_overview!AU2</f>
        <v>Computeren, ongespecificeerd</v>
      </c>
      <c r="AU2" s="17" t="str">
        <f aca="false">mapping_overview!AV2</f>
        <v>Spelletjes, games, ongespecificeerd</v>
      </c>
      <c r="AV2" s="17" t="str">
        <f aca="false">mapping_overview!AW2</f>
        <v>Computer spelen, games</v>
      </c>
      <c r="AW2" s="17" t="str">
        <f aca="false">mapping_overview!AX2</f>
        <v>Massa media, ongespecificeerd</v>
      </c>
      <c r="AX2" s="17" t="str">
        <f aca="false">mapping_overview!AY2</f>
        <v>Lezen, ongespecificeerd</v>
      </c>
      <c r="AY2" s="17" t="str">
        <f aca="false">mapping_overview!AZ2</f>
        <v>Audiovisueel media, ongespecificeerd</v>
      </c>
      <c r="AZ2" s="17" t="str">
        <f aca="false">mapping_overview!BA2</f>
        <v>Overig</v>
      </c>
    </row>
    <row r="3" customFormat="false" ht="15" hidden="false" customHeight="false" outlineLevel="0" collapsed="false">
      <c r="A3" s="17" t="s">
        <v>70</v>
      </c>
      <c r="B3" s="17" t="s">
        <v>71</v>
      </c>
    </row>
    <row r="4" customFormat="false" ht="15" hidden="false" customHeight="false" outlineLevel="0" collapsed="false">
      <c r="A4" s="17" t="s">
        <v>72</v>
      </c>
      <c r="B4" s="17" t="s">
        <v>73</v>
      </c>
    </row>
    <row r="5" customFormat="false" ht="15" hidden="false" customHeight="false" outlineLevel="0" collapsed="false">
      <c r="A5" s="17" t="s">
        <v>74</v>
      </c>
      <c r="B5" s="17" t="s">
        <v>75</v>
      </c>
    </row>
    <row r="6" customFormat="false" ht="15" hidden="false" customHeight="false" outlineLevel="0" collapsed="false">
      <c r="A6" s="17" t="s">
        <v>76</v>
      </c>
      <c r="B6" s="17" t="s">
        <v>77</v>
      </c>
    </row>
    <row r="7" customFormat="false" ht="15" hidden="false" customHeight="false" outlineLevel="0" collapsed="false">
      <c r="A7" s="17" t="s">
        <v>78</v>
      </c>
      <c r="B7" s="17" t="s">
        <v>79</v>
      </c>
    </row>
    <row r="8" customFormat="false" ht="15" hidden="false" customHeight="false" outlineLevel="0" collapsed="false">
      <c r="A8" s="17" t="s">
        <v>80</v>
      </c>
      <c r="B8" s="17" t="s">
        <v>81</v>
      </c>
    </row>
    <row r="9" customFormat="false" ht="15" hidden="false" customHeight="false" outlineLevel="0" collapsed="false">
      <c r="A9" s="17" t="s">
        <v>82</v>
      </c>
      <c r="B9" s="17" t="s">
        <v>83</v>
      </c>
    </row>
    <row r="10" customFormat="false" ht="15" hidden="false" customHeight="false" outlineLevel="0" collapsed="false">
      <c r="A10" s="17" t="s">
        <v>84</v>
      </c>
      <c r="B10" s="17" t="s">
        <v>85</v>
      </c>
    </row>
    <row r="11" customFormat="false" ht="15" hidden="false" customHeight="false" outlineLevel="0" collapsed="false">
      <c r="A11" s="17" t="s">
        <v>86</v>
      </c>
      <c r="B11" s="17" t="s">
        <v>87</v>
      </c>
    </row>
    <row r="12" customFormat="false" ht="15" hidden="false" customHeight="false" outlineLevel="0" collapsed="false">
      <c r="A12" s="17" t="s">
        <v>88</v>
      </c>
      <c r="B12" s="17" t="s">
        <v>89</v>
      </c>
    </row>
    <row r="13" customFormat="false" ht="15" hidden="false" customHeight="false" outlineLevel="0" collapsed="false">
      <c r="A13" s="17" t="s">
        <v>90</v>
      </c>
      <c r="B13" s="17" t="s">
        <v>91</v>
      </c>
    </row>
    <row r="14" customFormat="false" ht="15" hidden="false" customHeight="false" outlineLevel="0" collapsed="false">
      <c r="A14" s="17" t="s">
        <v>92</v>
      </c>
      <c r="B14" s="17" t="s">
        <v>93</v>
      </c>
    </row>
    <row r="15" customFormat="false" ht="15" hidden="false" customHeight="false" outlineLevel="0" collapsed="false">
      <c r="A15" s="17" t="s">
        <v>94</v>
      </c>
      <c r="B15" s="17" t="s">
        <v>95</v>
      </c>
    </row>
    <row r="16" customFormat="false" ht="15" hidden="false" customHeight="false" outlineLevel="0" collapsed="false">
      <c r="A16" s="17" t="s">
        <v>96</v>
      </c>
      <c r="B16" s="17" t="s">
        <v>97</v>
      </c>
    </row>
    <row r="17" customFormat="false" ht="15" hidden="false" customHeight="false" outlineLevel="0" collapsed="false">
      <c r="A17" s="17" t="s">
        <v>98</v>
      </c>
      <c r="B17" s="17" t="s">
        <v>99</v>
      </c>
    </row>
    <row r="18" customFormat="false" ht="15" hidden="false" customHeight="false" outlineLevel="0" collapsed="false">
      <c r="A18" s="17" t="s">
        <v>100</v>
      </c>
      <c r="B18" s="17" t="s">
        <v>101</v>
      </c>
    </row>
    <row r="19" customFormat="false" ht="15" hidden="false" customHeight="false" outlineLevel="0" collapsed="false">
      <c r="A19" s="17" t="s">
        <v>102</v>
      </c>
      <c r="B19" s="17" t="s">
        <v>103</v>
      </c>
    </row>
    <row r="20" customFormat="false" ht="15" hidden="false" customHeight="false" outlineLevel="0" collapsed="false">
      <c r="A20" s="17" t="s">
        <v>104</v>
      </c>
      <c r="B20" s="17" t="s">
        <v>105</v>
      </c>
    </row>
    <row r="21" customFormat="false" ht="15" hidden="false" customHeight="false" outlineLevel="0" collapsed="false">
      <c r="A21" s="17" t="s">
        <v>106</v>
      </c>
      <c r="B21" s="17" t="s">
        <v>107</v>
      </c>
    </row>
    <row r="22" customFormat="false" ht="15" hidden="false" customHeight="false" outlineLevel="0" collapsed="false">
      <c r="A22" s="17" t="s">
        <v>108</v>
      </c>
      <c r="B22" s="17" t="s">
        <v>109</v>
      </c>
    </row>
    <row r="23" customFormat="false" ht="15" hidden="false" customHeight="false" outlineLevel="0" collapsed="false">
      <c r="A23" s="17" t="s">
        <v>110</v>
      </c>
      <c r="B23" s="17" t="s">
        <v>111</v>
      </c>
    </row>
    <row r="24" customFormat="false" ht="15" hidden="false" customHeight="false" outlineLevel="0" collapsed="false">
      <c r="A24" s="17" t="s">
        <v>112</v>
      </c>
      <c r="B24" s="17" t="s">
        <v>113</v>
      </c>
    </row>
    <row r="25" customFormat="false" ht="15" hidden="false" customHeight="false" outlineLevel="0" collapsed="false">
      <c r="A25" s="17" t="s">
        <v>114</v>
      </c>
      <c r="B25" s="17" t="s">
        <v>115</v>
      </c>
    </row>
    <row r="26" customFormat="false" ht="15" hidden="false" customHeight="false" outlineLevel="0" collapsed="false">
      <c r="A26" s="17" t="s">
        <v>116</v>
      </c>
      <c r="B26" s="17" t="s">
        <v>117</v>
      </c>
    </row>
    <row r="27" customFormat="false" ht="15" hidden="false" customHeight="false" outlineLevel="0" collapsed="false">
      <c r="A27" s="17" t="s">
        <v>118</v>
      </c>
      <c r="B27" s="17" t="s">
        <v>119</v>
      </c>
    </row>
    <row r="28" customFormat="false" ht="15" hidden="false" customHeight="false" outlineLevel="0" collapsed="false">
      <c r="A28" s="17" t="s">
        <v>120</v>
      </c>
      <c r="B28" s="17" t="s">
        <v>121</v>
      </c>
    </row>
    <row r="29" customFormat="false" ht="15" hidden="false" customHeight="false" outlineLevel="0" collapsed="false">
      <c r="A29" s="17" t="s">
        <v>122</v>
      </c>
      <c r="B29" s="17" t="s">
        <v>123</v>
      </c>
    </row>
    <row r="30" customFormat="false" ht="15" hidden="false" customHeight="false" outlineLevel="0" collapsed="false">
      <c r="A30" s="17" t="s">
        <v>124</v>
      </c>
      <c r="B30" s="17" t="s">
        <v>125</v>
      </c>
    </row>
    <row r="31" customFormat="false" ht="15" hidden="false" customHeight="false" outlineLevel="0" collapsed="false">
      <c r="A31" s="17" t="s">
        <v>126</v>
      </c>
      <c r="B31" s="17" t="s">
        <v>127</v>
      </c>
    </row>
    <row r="32" customFormat="false" ht="15" hidden="false" customHeight="false" outlineLevel="0" collapsed="false">
      <c r="A32" s="17" t="s">
        <v>128</v>
      </c>
      <c r="B32" s="17" t="s">
        <v>129</v>
      </c>
    </row>
    <row r="33" customFormat="false" ht="15" hidden="false" customHeight="false" outlineLevel="0" collapsed="false">
      <c r="A33" s="17" t="s">
        <v>130</v>
      </c>
      <c r="B33" s="17" t="s">
        <v>131</v>
      </c>
    </row>
    <row r="34" customFormat="false" ht="15" hidden="false" customHeight="false" outlineLevel="0" collapsed="false">
      <c r="A34" s="17" t="s">
        <v>132</v>
      </c>
      <c r="B34" s="17" t="s">
        <v>133</v>
      </c>
    </row>
    <row r="35" customFormat="false" ht="15" hidden="false" customHeight="false" outlineLevel="0" collapsed="false">
      <c r="A35" s="17" t="s">
        <v>134</v>
      </c>
      <c r="B35" s="17" t="s">
        <v>135</v>
      </c>
    </row>
    <row r="36" customFormat="false" ht="15" hidden="false" customHeight="false" outlineLevel="0" collapsed="false">
      <c r="A36" s="17" t="s">
        <v>136</v>
      </c>
      <c r="B36" s="17" t="s">
        <v>137</v>
      </c>
    </row>
    <row r="37" customFormat="false" ht="15" hidden="false" customHeight="false" outlineLevel="0" collapsed="false">
      <c r="A37" s="17" t="s">
        <v>138</v>
      </c>
      <c r="B37" s="17" t="s">
        <v>139</v>
      </c>
    </row>
    <row r="38" customFormat="false" ht="15" hidden="false" customHeight="false" outlineLevel="0" collapsed="false">
      <c r="A38" s="17" t="s">
        <v>140</v>
      </c>
      <c r="B38" s="17" t="s">
        <v>141</v>
      </c>
    </row>
    <row r="39" customFormat="false" ht="15" hidden="false" customHeight="false" outlineLevel="0" collapsed="false">
      <c r="A39" s="17" t="s">
        <v>142</v>
      </c>
      <c r="B39" s="17" t="s">
        <v>143</v>
      </c>
    </row>
    <row r="40" customFormat="false" ht="15" hidden="false" customHeight="false" outlineLevel="0" collapsed="false">
      <c r="A40" s="17" t="s">
        <v>144</v>
      </c>
      <c r="B40" s="17" t="s">
        <v>145</v>
      </c>
    </row>
    <row r="41" customFormat="false" ht="15" hidden="false" customHeight="false" outlineLevel="0" collapsed="false">
      <c r="A41" s="17" t="s">
        <v>146</v>
      </c>
      <c r="B41" s="17" t="s">
        <v>147</v>
      </c>
    </row>
    <row r="42" customFormat="false" ht="15" hidden="false" customHeight="false" outlineLevel="0" collapsed="false">
      <c r="A42" s="17" t="s">
        <v>148</v>
      </c>
      <c r="B42" s="17" t="s">
        <v>149</v>
      </c>
    </row>
    <row r="43" customFormat="false" ht="15" hidden="false" customHeight="false" outlineLevel="0" collapsed="false">
      <c r="A43" s="17" t="s">
        <v>150</v>
      </c>
      <c r="B43" s="17" t="s">
        <v>151</v>
      </c>
    </row>
    <row r="44" customFormat="false" ht="15" hidden="false" customHeight="false" outlineLevel="0" collapsed="false">
      <c r="A44" s="17" t="s">
        <v>152</v>
      </c>
      <c r="B44" s="17" t="s">
        <v>153</v>
      </c>
    </row>
    <row r="45" customFormat="false" ht="15" hidden="false" customHeight="false" outlineLevel="0" collapsed="false">
      <c r="A45" s="17" t="s">
        <v>154</v>
      </c>
      <c r="B45" s="17" t="s">
        <v>155</v>
      </c>
    </row>
    <row r="46" customFormat="false" ht="15" hidden="false" customHeight="false" outlineLevel="0" collapsed="false">
      <c r="A46" s="17" t="s">
        <v>156</v>
      </c>
      <c r="B46" s="17" t="s">
        <v>157</v>
      </c>
    </row>
    <row r="47" customFormat="false" ht="15" hidden="false" customHeight="false" outlineLevel="0" collapsed="false">
      <c r="A47" s="17" t="s">
        <v>158</v>
      </c>
      <c r="B47" s="17" t="s">
        <v>159</v>
      </c>
    </row>
    <row r="48" customFormat="false" ht="15" hidden="false" customHeight="false" outlineLevel="0" collapsed="false">
      <c r="A48" s="17" t="s">
        <v>160</v>
      </c>
      <c r="B48" s="17" t="s">
        <v>161</v>
      </c>
    </row>
    <row r="49" customFormat="false" ht="15" hidden="false" customHeight="false" outlineLevel="0" collapsed="false">
      <c r="A49" s="17" t="s">
        <v>162</v>
      </c>
      <c r="B49" s="17" t="s">
        <v>163</v>
      </c>
    </row>
    <row r="50" customFormat="false" ht="15" hidden="false" customHeight="false" outlineLevel="0" collapsed="false">
      <c r="A50" s="17" t="s">
        <v>164</v>
      </c>
      <c r="B50" s="17" t="s">
        <v>165</v>
      </c>
    </row>
    <row r="51" customFormat="false" ht="15" hidden="false" customHeight="false" outlineLevel="0" collapsed="false">
      <c r="A51" s="17" t="s">
        <v>166</v>
      </c>
      <c r="B51" s="17" t="s">
        <v>167</v>
      </c>
    </row>
    <row r="52" customFormat="false" ht="15" hidden="false" customHeight="false" outlineLevel="0" collapsed="false">
      <c r="A52" s="17" t="s">
        <v>168</v>
      </c>
      <c r="B52" s="17" t="s">
        <v>169</v>
      </c>
    </row>
    <row r="53" customFormat="false" ht="15" hidden="false" customHeight="false" outlineLevel="0" collapsed="false">
      <c r="A53" s="17" t="s">
        <v>170</v>
      </c>
      <c r="B53" s="17" t="s">
        <v>171</v>
      </c>
    </row>
    <row r="54" customFormat="false" ht="15" hidden="false" customHeight="false" outlineLevel="0" collapsed="false">
      <c r="A54" s="17" t="s">
        <v>172</v>
      </c>
      <c r="B54" s="17" t="s">
        <v>173</v>
      </c>
    </row>
    <row r="55" customFormat="false" ht="15" hidden="false" customHeight="false" outlineLevel="0" collapsed="false">
      <c r="A55" s="17" t="s">
        <v>174</v>
      </c>
      <c r="B55" s="17" t="s">
        <v>175</v>
      </c>
    </row>
    <row r="56" customFormat="false" ht="15" hidden="false" customHeight="false" outlineLevel="0" collapsed="false">
      <c r="A56" s="17" t="s">
        <v>176</v>
      </c>
      <c r="B56" s="17" t="s">
        <v>177</v>
      </c>
    </row>
    <row r="57" customFormat="false" ht="15" hidden="false" customHeight="false" outlineLevel="0" collapsed="false">
      <c r="A57" s="17" t="s">
        <v>178</v>
      </c>
      <c r="B57" s="17" t="s">
        <v>179</v>
      </c>
    </row>
    <row r="58" customFormat="false" ht="15" hidden="false" customHeight="false" outlineLevel="0" collapsed="false">
      <c r="A58" s="17" t="s">
        <v>180</v>
      </c>
      <c r="B58" s="17" t="s">
        <v>181</v>
      </c>
    </row>
    <row r="59" customFormat="false" ht="15" hidden="false" customHeight="false" outlineLevel="0" collapsed="false">
      <c r="A59" s="17" t="s">
        <v>182</v>
      </c>
      <c r="B59" s="17" t="s">
        <v>183</v>
      </c>
    </row>
    <row r="60" customFormat="false" ht="15" hidden="false" customHeight="false" outlineLevel="0" collapsed="false">
      <c r="A60" s="17" t="s">
        <v>184</v>
      </c>
      <c r="B60" s="17" t="s">
        <v>185</v>
      </c>
    </row>
    <row r="61" customFormat="false" ht="15" hidden="false" customHeight="false" outlineLevel="0" collapsed="false">
      <c r="A61" s="17" t="s">
        <v>186</v>
      </c>
      <c r="B61" s="17" t="s">
        <v>187</v>
      </c>
    </row>
    <row r="62" customFormat="false" ht="15" hidden="false" customHeight="false" outlineLevel="0" collapsed="false">
      <c r="A62" s="17" t="s">
        <v>188</v>
      </c>
      <c r="B62" s="17" t="s">
        <v>189</v>
      </c>
    </row>
    <row r="63" customFormat="false" ht="15" hidden="false" customHeight="false" outlineLevel="0" collapsed="false">
      <c r="A63" s="17" t="s">
        <v>190</v>
      </c>
      <c r="B63" s="17" t="s">
        <v>191</v>
      </c>
    </row>
    <row r="64" customFormat="false" ht="15" hidden="false" customHeight="false" outlineLevel="0" collapsed="false">
      <c r="A64" s="17" t="s">
        <v>192</v>
      </c>
      <c r="B64" s="17" t="s">
        <v>193</v>
      </c>
    </row>
    <row r="65" customFormat="false" ht="15" hidden="false" customHeight="false" outlineLevel="0" collapsed="false">
      <c r="A65" s="17" t="s">
        <v>194</v>
      </c>
      <c r="B65" s="17" t="s">
        <v>195</v>
      </c>
    </row>
    <row r="66" customFormat="false" ht="15" hidden="false" customHeight="false" outlineLevel="0" collapsed="false">
      <c r="A66" s="17" t="s">
        <v>196</v>
      </c>
      <c r="B66" s="17" t="s">
        <v>197</v>
      </c>
    </row>
    <row r="67" customFormat="false" ht="15" hidden="false" customHeight="false" outlineLevel="0" collapsed="false">
      <c r="A67" s="17" t="s">
        <v>198</v>
      </c>
      <c r="B67" s="17" t="s">
        <v>199</v>
      </c>
    </row>
    <row r="68" customFormat="false" ht="15" hidden="false" customHeight="false" outlineLevel="0" collapsed="false">
      <c r="A68" s="17" t="s">
        <v>200</v>
      </c>
      <c r="B68" s="17" t="s">
        <v>201</v>
      </c>
    </row>
    <row r="69" customFormat="false" ht="15" hidden="false" customHeight="false" outlineLevel="0" collapsed="false">
      <c r="A69" s="17" t="s">
        <v>202</v>
      </c>
      <c r="B69" s="17" t="s">
        <v>203</v>
      </c>
    </row>
    <row r="70" customFormat="false" ht="15" hidden="false" customHeight="false" outlineLevel="0" collapsed="false">
      <c r="A70" s="17" t="s">
        <v>204</v>
      </c>
      <c r="B70" s="17" t="s">
        <v>205</v>
      </c>
    </row>
    <row r="71" customFormat="false" ht="15" hidden="false" customHeight="false" outlineLevel="0" collapsed="false">
      <c r="A71" s="17" t="s">
        <v>206</v>
      </c>
      <c r="B71" s="17" t="s">
        <v>207</v>
      </c>
    </row>
    <row r="72" customFormat="false" ht="15" hidden="false" customHeight="false" outlineLevel="0" collapsed="false">
      <c r="A72" s="17" t="s">
        <v>208</v>
      </c>
      <c r="B72" s="17" t="s">
        <v>209</v>
      </c>
    </row>
    <row r="73" customFormat="false" ht="15" hidden="false" customHeight="false" outlineLevel="0" collapsed="false">
      <c r="A73" s="17" t="s">
        <v>210</v>
      </c>
      <c r="B73" s="17" t="s">
        <v>211</v>
      </c>
    </row>
    <row r="74" customFormat="false" ht="15" hidden="false" customHeight="false" outlineLevel="0" collapsed="false">
      <c r="A74" s="17" t="s">
        <v>212</v>
      </c>
      <c r="B74" s="17" t="s">
        <v>213</v>
      </c>
    </row>
    <row r="75" customFormat="false" ht="15" hidden="false" customHeight="false" outlineLevel="0" collapsed="false">
      <c r="A75" s="17" t="s">
        <v>214</v>
      </c>
      <c r="B75" s="17" t="s">
        <v>215</v>
      </c>
    </row>
    <row r="76" customFormat="false" ht="15" hidden="false" customHeight="false" outlineLevel="0" collapsed="false">
      <c r="A76" s="17" t="s">
        <v>216</v>
      </c>
      <c r="B76" s="17" t="s">
        <v>217</v>
      </c>
    </row>
    <row r="77" customFormat="false" ht="15" hidden="false" customHeight="false" outlineLevel="0" collapsed="false">
      <c r="A77" s="17" t="s">
        <v>218</v>
      </c>
      <c r="B77" s="17" t="s">
        <v>219</v>
      </c>
    </row>
    <row r="78" customFormat="false" ht="15" hidden="false" customHeight="false" outlineLevel="0" collapsed="false">
      <c r="A78" s="17" t="s">
        <v>220</v>
      </c>
      <c r="B78" s="17" t="s">
        <v>221</v>
      </c>
    </row>
    <row r="79" customFormat="false" ht="15" hidden="false" customHeight="false" outlineLevel="0" collapsed="false">
      <c r="A79" s="17" t="s">
        <v>222</v>
      </c>
      <c r="B79" s="17" t="s">
        <v>223</v>
      </c>
    </row>
    <row r="80" customFormat="false" ht="15" hidden="false" customHeight="false" outlineLevel="0" collapsed="false">
      <c r="A80" s="17" t="s">
        <v>224</v>
      </c>
      <c r="B80" s="17" t="s">
        <v>225</v>
      </c>
    </row>
    <row r="81" customFormat="false" ht="15" hidden="false" customHeight="false" outlineLevel="0" collapsed="false">
      <c r="A81" s="17" t="s">
        <v>226</v>
      </c>
      <c r="B81" s="17" t="s">
        <v>227</v>
      </c>
    </row>
    <row r="82" customFormat="false" ht="15" hidden="false" customHeight="false" outlineLevel="0" collapsed="false">
      <c r="A82" s="17" t="s">
        <v>228</v>
      </c>
      <c r="B82" s="17" t="s">
        <v>229</v>
      </c>
    </row>
    <row r="83" customFormat="false" ht="15" hidden="false" customHeight="false" outlineLevel="0" collapsed="false">
      <c r="A83" s="17" t="s">
        <v>230</v>
      </c>
      <c r="B83" s="17" t="s">
        <v>231</v>
      </c>
    </row>
    <row r="84" customFormat="false" ht="15" hidden="false" customHeight="false" outlineLevel="0" collapsed="false">
      <c r="A84" s="17" t="s">
        <v>232</v>
      </c>
      <c r="B84" s="17" t="s">
        <v>233</v>
      </c>
    </row>
    <row r="85" customFormat="false" ht="15" hidden="false" customHeight="false" outlineLevel="0" collapsed="false">
      <c r="A85" s="17" t="s">
        <v>234</v>
      </c>
      <c r="B85" s="17" t="s">
        <v>235</v>
      </c>
    </row>
    <row r="86" customFormat="false" ht="15" hidden="false" customHeight="false" outlineLevel="0" collapsed="false">
      <c r="A86" s="17" t="s">
        <v>236</v>
      </c>
      <c r="B86" s="17" t="s">
        <v>237</v>
      </c>
    </row>
    <row r="87" customFormat="false" ht="15" hidden="false" customHeight="false" outlineLevel="0" collapsed="false">
      <c r="A87" s="17" t="s">
        <v>238</v>
      </c>
      <c r="B87" s="17" t="s">
        <v>239</v>
      </c>
    </row>
    <row r="88" customFormat="false" ht="15" hidden="false" customHeight="false" outlineLevel="0" collapsed="false">
      <c r="A88" s="17" t="s">
        <v>240</v>
      </c>
      <c r="B88" s="17" t="s">
        <v>241</v>
      </c>
    </row>
    <row r="89" customFormat="false" ht="15" hidden="false" customHeight="false" outlineLevel="0" collapsed="false">
      <c r="A89" s="17" t="s">
        <v>242</v>
      </c>
      <c r="B89" s="17" t="s">
        <v>243</v>
      </c>
    </row>
    <row r="90" customFormat="false" ht="15" hidden="false" customHeight="false" outlineLevel="0" collapsed="false">
      <c r="A90" s="17" t="s">
        <v>244</v>
      </c>
      <c r="B90" s="17" t="s">
        <v>245</v>
      </c>
    </row>
    <row r="91" customFormat="false" ht="15" hidden="false" customHeight="false" outlineLevel="0" collapsed="false">
      <c r="A91" s="17" t="s">
        <v>246</v>
      </c>
      <c r="B91" s="17" t="s">
        <v>247</v>
      </c>
    </row>
    <row r="92" customFormat="false" ht="15" hidden="false" customHeight="false" outlineLevel="0" collapsed="false">
      <c r="A92" s="17" t="s">
        <v>248</v>
      </c>
      <c r="B92" s="17" t="s">
        <v>249</v>
      </c>
    </row>
    <row r="93" customFormat="false" ht="15" hidden="false" customHeight="false" outlineLevel="0" collapsed="false">
      <c r="A93" s="17" t="s">
        <v>250</v>
      </c>
      <c r="B93" s="17" t="s">
        <v>251</v>
      </c>
    </row>
    <row r="94" customFormat="false" ht="15" hidden="false" customHeight="false" outlineLevel="0" collapsed="false">
      <c r="A94" s="17" t="s">
        <v>252</v>
      </c>
      <c r="B94" s="17" t="s">
        <v>253</v>
      </c>
    </row>
    <row r="95" customFormat="false" ht="15" hidden="false" customHeight="false" outlineLevel="0" collapsed="false">
      <c r="A95" s="17" t="s">
        <v>254</v>
      </c>
      <c r="B95" s="17" t="s">
        <v>255</v>
      </c>
    </row>
    <row r="96" customFormat="false" ht="15" hidden="false" customHeight="false" outlineLevel="0" collapsed="false">
      <c r="A96" s="17" t="s">
        <v>256</v>
      </c>
      <c r="B96" s="17" t="s">
        <v>257</v>
      </c>
    </row>
    <row r="97" customFormat="false" ht="15" hidden="false" customHeight="false" outlineLevel="0" collapsed="false">
      <c r="A97" s="17" t="s">
        <v>258</v>
      </c>
      <c r="B97" s="17" t="s">
        <v>259</v>
      </c>
    </row>
    <row r="98" customFormat="false" ht="15" hidden="false" customHeight="false" outlineLevel="0" collapsed="false">
      <c r="A98" s="17" t="s">
        <v>260</v>
      </c>
      <c r="B98" s="17" t="s">
        <v>261</v>
      </c>
    </row>
    <row r="99" customFormat="false" ht="15" hidden="false" customHeight="false" outlineLevel="0" collapsed="false">
      <c r="A99" s="17" t="s">
        <v>262</v>
      </c>
      <c r="B99" s="17" t="s">
        <v>263</v>
      </c>
    </row>
    <row r="100" customFormat="false" ht="15" hidden="false" customHeight="false" outlineLevel="0" collapsed="false">
      <c r="A100" s="17" t="s">
        <v>264</v>
      </c>
      <c r="B100" s="17" t="s">
        <v>265</v>
      </c>
    </row>
    <row r="101" customFormat="false" ht="15" hidden="false" customHeight="false" outlineLevel="0" collapsed="false">
      <c r="A101" s="17" t="s">
        <v>266</v>
      </c>
      <c r="B101" s="17" t="s">
        <v>267</v>
      </c>
    </row>
    <row r="102" customFormat="false" ht="15" hidden="false" customHeight="false" outlineLevel="0" collapsed="false">
      <c r="A102" s="17" t="s">
        <v>268</v>
      </c>
      <c r="B102" s="17" t="s">
        <v>269</v>
      </c>
    </row>
    <row r="103" customFormat="false" ht="15" hidden="false" customHeight="false" outlineLevel="0" collapsed="false">
      <c r="A103" s="17" t="s">
        <v>270</v>
      </c>
      <c r="B103" s="17" t="s">
        <v>271</v>
      </c>
    </row>
    <row r="104" customFormat="false" ht="15" hidden="false" customHeight="false" outlineLevel="0" collapsed="false">
      <c r="A104" s="17" t="s">
        <v>272</v>
      </c>
      <c r="B104" s="17" t="s">
        <v>273</v>
      </c>
    </row>
    <row r="105" customFormat="false" ht="15" hidden="false" customHeight="false" outlineLevel="0" collapsed="false">
      <c r="A105" s="17" t="s">
        <v>274</v>
      </c>
      <c r="B105" s="17" t="s">
        <v>275</v>
      </c>
    </row>
    <row r="106" customFormat="false" ht="15" hidden="false" customHeight="false" outlineLevel="0" collapsed="false">
      <c r="A106" s="17" t="s">
        <v>276</v>
      </c>
      <c r="B106" s="17" t="s">
        <v>277</v>
      </c>
    </row>
    <row r="107" customFormat="false" ht="15" hidden="false" customHeight="false" outlineLevel="0" collapsed="false">
      <c r="A107" s="17" t="s">
        <v>278</v>
      </c>
      <c r="B107" s="17" t="s">
        <v>279</v>
      </c>
    </row>
    <row r="108" customFormat="false" ht="15" hidden="false" customHeight="false" outlineLevel="0" collapsed="false">
      <c r="A108" s="17" t="s">
        <v>280</v>
      </c>
      <c r="B108" s="17" t="s">
        <v>281</v>
      </c>
    </row>
    <row r="109" customFormat="false" ht="15" hidden="false" customHeight="false" outlineLevel="0" collapsed="false">
      <c r="A109" s="17" t="s">
        <v>282</v>
      </c>
      <c r="B109" s="17" t="s">
        <v>283</v>
      </c>
    </row>
    <row r="110" customFormat="false" ht="15" hidden="false" customHeight="false" outlineLevel="0" collapsed="false">
      <c r="A110" s="17" t="s">
        <v>284</v>
      </c>
      <c r="B110" s="17" t="s">
        <v>285</v>
      </c>
    </row>
    <row r="111" customFormat="false" ht="15" hidden="false" customHeight="false" outlineLevel="0" collapsed="false">
      <c r="A111" s="17" t="s">
        <v>286</v>
      </c>
      <c r="B111" s="17" t="s">
        <v>287</v>
      </c>
    </row>
    <row r="112" customFormat="false" ht="15" hidden="false" customHeight="false" outlineLevel="0" collapsed="false">
      <c r="A112" s="17" t="s">
        <v>288</v>
      </c>
      <c r="B112" s="17" t="s">
        <v>289</v>
      </c>
    </row>
    <row r="113" customFormat="false" ht="15" hidden="false" customHeight="false" outlineLevel="0" collapsed="false">
      <c r="A113" s="17" t="s">
        <v>290</v>
      </c>
      <c r="B113" s="17" t="s">
        <v>291</v>
      </c>
    </row>
    <row r="114" customFormat="false" ht="15" hidden="false" customHeight="false" outlineLevel="0" collapsed="false">
      <c r="A114" s="17" t="s">
        <v>292</v>
      </c>
      <c r="B114" s="17" t="s">
        <v>293</v>
      </c>
    </row>
    <row r="115" customFormat="false" ht="15" hidden="false" customHeight="false" outlineLevel="0" collapsed="false">
      <c r="A115" s="17" t="s">
        <v>294</v>
      </c>
      <c r="B115" s="17" t="s">
        <v>295</v>
      </c>
    </row>
    <row r="116" customFormat="false" ht="15" hidden="false" customHeight="false" outlineLevel="0" collapsed="false">
      <c r="A116" s="17" t="s">
        <v>296</v>
      </c>
      <c r="B116" s="17" t="s">
        <v>297</v>
      </c>
    </row>
    <row r="117" customFormat="false" ht="15" hidden="false" customHeight="false" outlineLevel="0" collapsed="false">
      <c r="A117" s="17" t="s">
        <v>298</v>
      </c>
      <c r="B117" s="17" t="s">
        <v>299</v>
      </c>
    </row>
    <row r="118" customFormat="false" ht="15" hidden="false" customHeight="false" outlineLevel="0" collapsed="false">
      <c r="A118" s="17" t="s">
        <v>300</v>
      </c>
      <c r="B118" s="17" t="s">
        <v>301</v>
      </c>
    </row>
    <row r="119" customFormat="false" ht="15" hidden="false" customHeight="false" outlineLevel="0" collapsed="false">
      <c r="A119" s="17" t="s">
        <v>302</v>
      </c>
      <c r="B119" s="17" t="s">
        <v>303</v>
      </c>
    </row>
    <row r="120" customFormat="false" ht="15" hidden="false" customHeight="false" outlineLevel="0" collapsed="false">
      <c r="A120" s="17" t="s">
        <v>304</v>
      </c>
      <c r="B120" s="17" t="s">
        <v>305</v>
      </c>
    </row>
    <row r="121" customFormat="false" ht="15" hidden="false" customHeight="false" outlineLevel="0" collapsed="false">
      <c r="A121" s="17" t="s">
        <v>306</v>
      </c>
      <c r="B121" s="17" t="s">
        <v>307</v>
      </c>
    </row>
    <row r="122" customFormat="false" ht="15" hidden="false" customHeight="false" outlineLevel="0" collapsed="false">
      <c r="A122" s="17" t="s">
        <v>308</v>
      </c>
      <c r="B122" s="17" t="s">
        <v>309</v>
      </c>
    </row>
    <row r="123" customFormat="false" ht="15" hidden="false" customHeight="false" outlineLevel="0" collapsed="false">
      <c r="A123" s="17" t="s">
        <v>310</v>
      </c>
      <c r="B123" s="17" t="s">
        <v>311</v>
      </c>
    </row>
    <row r="124" customFormat="false" ht="15" hidden="false" customHeight="false" outlineLevel="0" collapsed="false">
      <c r="A124" s="17" t="s">
        <v>312</v>
      </c>
      <c r="B124" s="17" t="s">
        <v>313</v>
      </c>
    </row>
    <row r="125" customFormat="false" ht="15" hidden="false" customHeight="false" outlineLevel="0" collapsed="false">
      <c r="A125" s="17" t="s">
        <v>314</v>
      </c>
      <c r="B125" s="17" t="s">
        <v>315</v>
      </c>
    </row>
    <row r="126" customFormat="false" ht="15" hidden="false" customHeight="false" outlineLevel="0" collapsed="false">
      <c r="A126" s="17" t="s">
        <v>316</v>
      </c>
      <c r="B126" s="17" t="s">
        <v>317</v>
      </c>
    </row>
    <row r="127" customFormat="false" ht="15" hidden="false" customHeight="false" outlineLevel="0" collapsed="false">
      <c r="A127" s="17" t="s">
        <v>318</v>
      </c>
      <c r="B127" s="17" t="s">
        <v>319</v>
      </c>
    </row>
    <row r="128" customFormat="false" ht="15" hidden="false" customHeight="false" outlineLevel="0" collapsed="false">
      <c r="A128" s="17" t="s">
        <v>320</v>
      </c>
      <c r="B128" s="17" t="s">
        <v>321</v>
      </c>
    </row>
    <row r="129" customFormat="false" ht="15" hidden="false" customHeight="false" outlineLevel="0" collapsed="false">
      <c r="A129" s="17" t="s">
        <v>322</v>
      </c>
      <c r="B129" s="17" t="s">
        <v>323</v>
      </c>
    </row>
    <row r="130" customFormat="false" ht="15" hidden="false" customHeight="false" outlineLevel="0" collapsed="false">
      <c r="A130" s="17" t="s">
        <v>324</v>
      </c>
      <c r="B130" s="17" t="s">
        <v>325</v>
      </c>
    </row>
    <row r="131" customFormat="false" ht="15" hidden="false" customHeight="false" outlineLevel="0" collapsed="false">
      <c r="A131" s="17" t="s">
        <v>326</v>
      </c>
      <c r="B131" s="17" t="s">
        <v>327</v>
      </c>
    </row>
    <row r="132" customFormat="false" ht="15" hidden="false" customHeight="false" outlineLevel="0" collapsed="false">
      <c r="A132" s="17" t="s">
        <v>328</v>
      </c>
      <c r="B132" s="17" t="s">
        <v>329</v>
      </c>
    </row>
    <row r="133" customFormat="false" ht="15" hidden="false" customHeight="false" outlineLevel="0" collapsed="false">
      <c r="A133" s="17" t="s">
        <v>330</v>
      </c>
      <c r="B133" s="17" t="s">
        <v>331</v>
      </c>
    </row>
    <row r="134" customFormat="false" ht="15" hidden="false" customHeight="false" outlineLevel="0" collapsed="false">
      <c r="A134" s="17" t="s">
        <v>332</v>
      </c>
      <c r="B134" s="17" t="s">
        <v>333</v>
      </c>
    </row>
    <row r="135" customFormat="false" ht="15" hidden="false" customHeight="false" outlineLevel="0" collapsed="false">
      <c r="A135" s="17" t="s">
        <v>334</v>
      </c>
      <c r="B135" s="17" t="s">
        <v>335</v>
      </c>
    </row>
    <row r="136" customFormat="false" ht="15" hidden="false" customHeight="false" outlineLevel="0" collapsed="false">
      <c r="A136" s="17" t="s">
        <v>336</v>
      </c>
      <c r="B136" s="17" t="s">
        <v>337</v>
      </c>
    </row>
    <row r="137" customFormat="false" ht="15" hidden="false" customHeight="false" outlineLevel="0" collapsed="false">
      <c r="A137" s="17" t="s">
        <v>338</v>
      </c>
      <c r="B137" s="17" t="s">
        <v>339</v>
      </c>
    </row>
    <row r="138" customFormat="false" ht="15" hidden="false" customHeight="false" outlineLevel="0" collapsed="false">
      <c r="A138" s="17" t="s">
        <v>340</v>
      </c>
      <c r="B138" s="17" t="s">
        <v>341</v>
      </c>
    </row>
    <row r="139" customFormat="false" ht="15" hidden="false" customHeight="false" outlineLevel="0" collapsed="false">
      <c r="A139" s="17" t="s">
        <v>342</v>
      </c>
      <c r="B139" s="17" t="s">
        <v>343</v>
      </c>
    </row>
    <row r="140" customFormat="false" ht="15" hidden="false" customHeight="false" outlineLevel="0" collapsed="false">
      <c r="A140" s="17" t="s">
        <v>344</v>
      </c>
      <c r="B140" s="17" t="s">
        <v>345</v>
      </c>
    </row>
    <row r="141" customFormat="false" ht="15" hidden="false" customHeight="false" outlineLevel="0" collapsed="false">
      <c r="A141" s="17" t="s">
        <v>346</v>
      </c>
      <c r="B141" s="17" t="s">
        <v>347</v>
      </c>
    </row>
    <row r="142" customFormat="false" ht="15" hidden="false" customHeight="false" outlineLevel="0" collapsed="false">
      <c r="A142" s="17" t="s">
        <v>348</v>
      </c>
      <c r="B142" s="17" t="s">
        <v>349</v>
      </c>
    </row>
    <row r="143" customFormat="false" ht="15" hidden="false" customHeight="false" outlineLevel="0" collapsed="false">
      <c r="A143" s="17" t="s">
        <v>350</v>
      </c>
      <c r="B143" s="17" t="s">
        <v>351</v>
      </c>
    </row>
    <row r="144" customFormat="false" ht="15" hidden="false" customHeight="false" outlineLevel="0" collapsed="false">
      <c r="A144" s="17" t="s">
        <v>352</v>
      </c>
      <c r="B144" s="17" t="s">
        <v>353</v>
      </c>
    </row>
    <row r="145" customFormat="false" ht="15" hidden="false" customHeight="false" outlineLevel="0" collapsed="false">
      <c r="A145" s="17" t="s">
        <v>354</v>
      </c>
      <c r="B145" s="17" t="s">
        <v>355</v>
      </c>
    </row>
    <row r="146" customFormat="false" ht="15" hidden="false" customHeight="false" outlineLevel="0" collapsed="false">
      <c r="A146" s="17" t="s">
        <v>356</v>
      </c>
      <c r="B146" s="17" t="s">
        <v>357</v>
      </c>
    </row>
    <row r="147" customFormat="false" ht="15" hidden="false" customHeight="false" outlineLevel="0" collapsed="false">
      <c r="A147" s="17" t="s">
        <v>358</v>
      </c>
      <c r="B147" s="17" t="s">
        <v>359</v>
      </c>
    </row>
    <row r="148" customFormat="false" ht="15" hidden="false" customHeight="false" outlineLevel="0" collapsed="false">
      <c r="A148" s="17" t="s">
        <v>360</v>
      </c>
      <c r="B148" s="17" t="s">
        <v>361</v>
      </c>
    </row>
    <row r="149" customFormat="false" ht="15" hidden="false" customHeight="false" outlineLevel="0" collapsed="false">
      <c r="A149" s="17" t="s">
        <v>362</v>
      </c>
      <c r="B149" s="17" t="s">
        <v>363</v>
      </c>
    </row>
    <row r="150" customFormat="false" ht="15" hidden="false" customHeight="false" outlineLevel="0" collapsed="false">
      <c r="A150" s="17" t="s">
        <v>364</v>
      </c>
      <c r="B150" s="17" t="s">
        <v>365</v>
      </c>
    </row>
    <row r="151" customFormat="false" ht="15" hidden="false" customHeight="false" outlineLevel="0" collapsed="false">
      <c r="A151" s="17" t="s">
        <v>366</v>
      </c>
      <c r="B151" s="17" t="s">
        <v>367</v>
      </c>
    </row>
    <row r="152" customFormat="false" ht="15" hidden="false" customHeight="false" outlineLevel="0" collapsed="false">
      <c r="A152" s="17" t="s">
        <v>368</v>
      </c>
      <c r="B152" s="17" t="s">
        <v>369</v>
      </c>
    </row>
    <row r="153" customFormat="false" ht="15" hidden="false" customHeight="false" outlineLevel="0" collapsed="false">
      <c r="A153" s="17" t="s">
        <v>370</v>
      </c>
      <c r="B153" s="17" t="s">
        <v>371</v>
      </c>
    </row>
    <row r="154" customFormat="false" ht="15" hidden="false" customHeight="false" outlineLevel="0" collapsed="false">
      <c r="A154" s="17" t="s">
        <v>372</v>
      </c>
      <c r="B154" s="17" t="s">
        <v>373</v>
      </c>
    </row>
    <row r="155" customFormat="false" ht="15" hidden="false" customHeight="false" outlineLevel="0" collapsed="false">
      <c r="A155" s="17" t="s">
        <v>374</v>
      </c>
      <c r="B155" s="17" t="s">
        <v>375</v>
      </c>
    </row>
    <row r="156" customFormat="false" ht="15" hidden="false" customHeight="false" outlineLevel="0" collapsed="false">
      <c r="A156" s="17" t="s">
        <v>376</v>
      </c>
      <c r="B156" s="17" t="s">
        <v>377</v>
      </c>
    </row>
    <row r="157" customFormat="false" ht="15" hidden="false" customHeight="false" outlineLevel="0" collapsed="false">
      <c r="A157" s="17" t="s">
        <v>378</v>
      </c>
      <c r="B157" s="17" t="s">
        <v>379</v>
      </c>
    </row>
    <row r="158" customFormat="false" ht="15" hidden="false" customHeight="false" outlineLevel="0" collapsed="false">
      <c r="A158" s="17" t="s">
        <v>380</v>
      </c>
      <c r="B158" s="17" t="s">
        <v>381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159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2" ySplit="2" topLeftCell="AP117" activePane="bottomRight" state="frozen"/>
      <selection pane="topLeft" activeCell="A1" activeCellId="0" sqref="A1"/>
      <selection pane="topRight" activeCell="AP1" activeCellId="0" sqref="AP1"/>
      <selection pane="bottomLeft" activeCell="A117" activeCellId="0" sqref="A117"/>
      <selection pane="bottomRight" activeCell="C3" activeCellId="0" sqref="C3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40.71"/>
    <col collapsed="false" customWidth="true" hidden="false" outlineLevel="0" max="3" min="3" style="38" width="10.71"/>
    <col collapsed="false" customWidth="true" hidden="false" outlineLevel="0" max="9" min="4" style="1" width="10.71"/>
    <col collapsed="false" customWidth="true" hidden="false" outlineLevel="0" max="10" min="10" style="38" width="10.71"/>
    <col collapsed="false" customWidth="true" hidden="false" outlineLevel="0" max="16" min="11" style="1" width="10.71"/>
    <col collapsed="false" customWidth="true" hidden="false" outlineLevel="0" max="17" min="17" style="38" width="10.71"/>
    <col collapsed="false" customWidth="true" hidden="false" outlineLevel="0" max="23" min="18" style="1" width="10.71"/>
    <col collapsed="false" customWidth="true" hidden="false" outlineLevel="0" max="24" min="24" style="38" width="10.71"/>
    <col collapsed="false" customWidth="true" hidden="false" outlineLevel="0" max="30" min="25" style="1" width="10.71"/>
    <col collapsed="false" customWidth="true" hidden="false" outlineLevel="0" max="31" min="31" style="38" width="10.71"/>
    <col collapsed="false" customWidth="true" hidden="false" outlineLevel="0" max="37" min="32" style="1" width="10.71"/>
    <col collapsed="false" customWidth="true" hidden="false" outlineLevel="0" max="38" min="38" style="38" width="10.71"/>
    <col collapsed="false" customWidth="true" hidden="false" outlineLevel="0" max="44" min="39" style="1" width="10.71"/>
    <col collapsed="false" customWidth="true" hidden="false" outlineLevel="0" max="45" min="45" style="38" width="10.71"/>
    <col collapsed="false" customWidth="true" hidden="false" outlineLevel="0" max="51" min="46" style="1" width="10.71"/>
    <col collapsed="false" customWidth="true" hidden="false" outlineLevel="0" max="52" min="52" style="38" width="10.71"/>
    <col collapsed="false" customWidth="true" hidden="false" outlineLevel="0" max="58" min="53" style="1" width="10.71"/>
    <col collapsed="false" customWidth="true" hidden="false" outlineLevel="0" max="59" min="59" style="38" width="10.71"/>
    <col collapsed="false" customWidth="true" hidden="false" outlineLevel="0" max="65" min="60" style="1" width="10.71"/>
    <col collapsed="false" customWidth="false" hidden="false" outlineLevel="0" max="16384" min="66" style="1" width="9.14"/>
  </cols>
  <sheetData>
    <row r="1" customFormat="false" ht="15" hidden="false" customHeight="false" outlineLevel="0" collapsed="false">
      <c r="A1" s="36" t="s">
        <v>0</v>
      </c>
      <c r="B1" s="17"/>
      <c r="C1" s="39" t="s">
        <v>698</v>
      </c>
      <c r="D1" s="39" t="s">
        <v>699</v>
      </c>
      <c r="E1" s="39" t="s">
        <v>700</v>
      </c>
      <c r="F1" s="39" t="s">
        <v>701</v>
      </c>
      <c r="G1" s="39" t="s">
        <v>702</v>
      </c>
      <c r="H1" s="39" t="s">
        <v>703</v>
      </c>
      <c r="I1" s="39" t="s">
        <v>704</v>
      </c>
      <c r="J1" s="39" t="s">
        <v>705</v>
      </c>
      <c r="K1" s="39" t="s">
        <v>706</v>
      </c>
      <c r="L1" s="39" t="s">
        <v>707</v>
      </c>
      <c r="M1" s="39" t="s">
        <v>708</v>
      </c>
      <c r="N1" s="39" t="s">
        <v>709</v>
      </c>
      <c r="O1" s="39" t="s">
        <v>710</v>
      </c>
      <c r="P1" s="39" t="s">
        <v>711</v>
      </c>
      <c r="Q1" s="39" t="s">
        <v>712</v>
      </c>
      <c r="R1" s="39" t="s">
        <v>713</v>
      </c>
      <c r="S1" s="39" t="s">
        <v>714</v>
      </c>
      <c r="T1" s="39" t="s">
        <v>715</v>
      </c>
      <c r="U1" s="39" t="s">
        <v>716</v>
      </c>
      <c r="V1" s="39" t="s">
        <v>717</v>
      </c>
      <c r="W1" s="39" t="s">
        <v>718</v>
      </c>
      <c r="X1" s="39" t="s">
        <v>719</v>
      </c>
      <c r="Y1" s="39" t="s">
        <v>720</v>
      </c>
      <c r="Z1" s="39" t="s">
        <v>721</v>
      </c>
      <c r="AA1" s="39" t="s">
        <v>722</v>
      </c>
      <c r="AB1" s="39" t="s">
        <v>723</v>
      </c>
      <c r="AC1" s="39" t="s">
        <v>724</v>
      </c>
      <c r="AD1" s="39" t="s">
        <v>725</v>
      </c>
      <c r="AE1" s="39" t="s">
        <v>726</v>
      </c>
      <c r="AF1" s="39" t="s">
        <v>727</v>
      </c>
      <c r="AG1" s="39" t="s">
        <v>728</v>
      </c>
      <c r="AH1" s="39" t="s">
        <v>729</v>
      </c>
      <c r="AI1" s="39" t="s">
        <v>730</v>
      </c>
      <c r="AJ1" s="39" t="s">
        <v>731</v>
      </c>
      <c r="AK1" s="39" t="s">
        <v>732</v>
      </c>
      <c r="AL1" s="39" t="s">
        <v>733</v>
      </c>
      <c r="AM1" s="39" t="s">
        <v>734</v>
      </c>
      <c r="AN1" s="39" t="s">
        <v>735</v>
      </c>
      <c r="AO1" s="39" t="s">
        <v>736</v>
      </c>
      <c r="AP1" s="39" t="s">
        <v>737</v>
      </c>
      <c r="AQ1" s="39" t="s">
        <v>738</v>
      </c>
      <c r="AR1" s="39" t="s">
        <v>739</v>
      </c>
      <c r="AS1" s="39" t="s">
        <v>740</v>
      </c>
      <c r="AT1" s="39" t="s">
        <v>741</v>
      </c>
      <c r="AU1" s="39" t="s">
        <v>742</v>
      </c>
      <c r="AV1" s="39" t="s">
        <v>743</v>
      </c>
      <c r="AW1" s="39" t="s">
        <v>744</v>
      </c>
      <c r="AX1" s="39" t="s">
        <v>745</v>
      </c>
      <c r="AY1" s="39" t="s">
        <v>746</v>
      </c>
      <c r="AZ1" s="39" t="s">
        <v>747</v>
      </c>
      <c r="BA1" s="39" t="s">
        <v>748</v>
      </c>
      <c r="BB1" s="39" t="s">
        <v>749</v>
      </c>
      <c r="BC1" s="39" t="s">
        <v>750</v>
      </c>
      <c r="BD1" s="39" t="s">
        <v>751</v>
      </c>
      <c r="BE1" s="39" t="s">
        <v>752</v>
      </c>
      <c r="BF1" s="39" t="s">
        <v>753</v>
      </c>
      <c r="BG1" s="39" t="s">
        <v>754</v>
      </c>
      <c r="BH1" s="39" t="s">
        <v>755</v>
      </c>
      <c r="BI1" s="39" t="s">
        <v>756</v>
      </c>
      <c r="BJ1" s="39" t="s">
        <v>757</v>
      </c>
      <c r="BK1" s="39" t="s">
        <v>758</v>
      </c>
      <c r="BL1" s="39" t="s">
        <v>759</v>
      </c>
      <c r="BM1" s="39" t="s">
        <v>760</v>
      </c>
    </row>
    <row r="2" customFormat="false" ht="15" hidden="false" customHeight="false" outlineLevel="0" collapsed="false">
      <c r="A2" s="17"/>
      <c r="B2" s="17"/>
      <c r="C2" s="40" t="s">
        <v>761</v>
      </c>
      <c r="D2" s="41" t="s">
        <v>761</v>
      </c>
      <c r="E2" s="41" t="s">
        <v>761</v>
      </c>
      <c r="F2" s="41" t="s">
        <v>761</v>
      </c>
      <c r="G2" s="41" t="s">
        <v>761</v>
      </c>
      <c r="H2" s="41" t="s">
        <v>761</v>
      </c>
      <c r="I2" s="41" t="s">
        <v>761</v>
      </c>
      <c r="J2" s="40" t="s">
        <v>762</v>
      </c>
      <c r="K2" s="41" t="s">
        <v>762</v>
      </c>
      <c r="L2" s="41" t="s">
        <v>762</v>
      </c>
      <c r="M2" s="41" t="s">
        <v>762</v>
      </c>
      <c r="N2" s="41" t="s">
        <v>762</v>
      </c>
      <c r="O2" s="41" t="s">
        <v>762</v>
      </c>
      <c r="P2" s="41" t="s">
        <v>762</v>
      </c>
      <c r="Q2" s="40" t="s">
        <v>763</v>
      </c>
      <c r="R2" s="41" t="s">
        <v>763</v>
      </c>
      <c r="S2" s="41" t="s">
        <v>763</v>
      </c>
      <c r="T2" s="41" t="s">
        <v>763</v>
      </c>
      <c r="U2" s="41" t="s">
        <v>763</v>
      </c>
      <c r="V2" s="41" t="s">
        <v>763</v>
      </c>
      <c r="W2" s="41" t="s">
        <v>763</v>
      </c>
      <c r="X2" s="40" t="s">
        <v>764</v>
      </c>
      <c r="Y2" s="17" t="s">
        <v>764</v>
      </c>
      <c r="Z2" s="17" t="s">
        <v>764</v>
      </c>
      <c r="AA2" s="17" t="s">
        <v>764</v>
      </c>
      <c r="AB2" s="17" t="s">
        <v>764</v>
      </c>
      <c r="AC2" s="17" t="s">
        <v>764</v>
      </c>
      <c r="AD2" s="17" t="s">
        <v>764</v>
      </c>
      <c r="AE2" s="40" t="s">
        <v>765</v>
      </c>
      <c r="AF2" s="17" t="s">
        <v>765</v>
      </c>
      <c r="AG2" s="17" t="s">
        <v>765</v>
      </c>
      <c r="AH2" s="17" t="s">
        <v>765</v>
      </c>
      <c r="AI2" s="17" t="s">
        <v>765</v>
      </c>
      <c r="AJ2" s="17" t="s">
        <v>765</v>
      </c>
      <c r="AK2" s="17" t="s">
        <v>765</v>
      </c>
      <c r="AL2" s="40" t="s">
        <v>766</v>
      </c>
      <c r="AM2" s="17" t="s">
        <v>766</v>
      </c>
      <c r="AN2" s="17" t="s">
        <v>766</v>
      </c>
      <c r="AO2" s="17" t="s">
        <v>766</v>
      </c>
      <c r="AP2" s="17" t="s">
        <v>766</v>
      </c>
      <c r="AQ2" s="17" t="s">
        <v>766</v>
      </c>
      <c r="AR2" s="17" t="s">
        <v>766</v>
      </c>
      <c r="AS2" s="40" t="s">
        <v>767</v>
      </c>
      <c r="AT2" s="17" t="s">
        <v>767</v>
      </c>
      <c r="AU2" s="17" t="s">
        <v>767</v>
      </c>
      <c r="AV2" s="17" t="s">
        <v>767</v>
      </c>
      <c r="AW2" s="17" t="s">
        <v>767</v>
      </c>
      <c r="AX2" s="17" t="s">
        <v>767</v>
      </c>
      <c r="AY2" s="17" t="s">
        <v>767</v>
      </c>
      <c r="AZ2" s="40" t="s">
        <v>768</v>
      </c>
      <c r="BA2" s="17" t="s">
        <v>768</v>
      </c>
      <c r="BB2" s="17" t="s">
        <v>768</v>
      </c>
      <c r="BC2" s="17" t="s">
        <v>768</v>
      </c>
      <c r="BD2" s="17" t="s">
        <v>768</v>
      </c>
      <c r="BE2" s="17" t="s">
        <v>768</v>
      </c>
      <c r="BF2" s="17" t="s">
        <v>768</v>
      </c>
      <c r="BG2" s="40" t="s">
        <v>769</v>
      </c>
      <c r="BH2" s="17" t="s">
        <v>769</v>
      </c>
      <c r="BI2" s="17" t="s">
        <v>769</v>
      </c>
      <c r="BJ2" s="17" t="s">
        <v>769</v>
      </c>
      <c r="BK2" s="17" t="s">
        <v>769</v>
      </c>
      <c r="BL2" s="17" t="s">
        <v>769</v>
      </c>
      <c r="BM2" s="17" t="s">
        <v>769</v>
      </c>
    </row>
    <row r="3" customFormat="false" ht="15" hidden="false" customHeight="false" outlineLevel="0" collapsed="false">
      <c r="A3" s="17" t="s">
        <v>70</v>
      </c>
      <c r="B3" s="17" t="s">
        <v>71</v>
      </c>
      <c r="C3" s="42" t="str">
        <f aca="false">IF(SUM(D3:I3)&gt;0, 1, "")</f>
        <v/>
      </c>
      <c r="D3" s="17"/>
      <c r="E3" s="17"/>
      <c r="F3" s="17"/>
      <c r="G3" s="17"/>
      <c r="H3" s="17"/>
      <c r="I3" s="17"/>
      <c r="J3" s="42" t="str">
        <f aca="false">IF(SUM(K3:P3)&gt;0, 1, "")</f>
        <v/>
      </c>
      <c r="K3" s="17"/>
      <c r="L3" s="17"/>
      <c r="M3" s="17"/>
      <c r="N3" s="17"/>
      <c r="O3" s="17"/>
      <c r="P3" s="17"/>
      <c r="Q3" s="42" t="str">
        <f aca="false">IF(SUM(R3:W3)&gt;0, 1, "")</f>
        <v/>
      </c>
      <c r="R3" s="17"/>
      <c r="S3" s="17"/>
      <c r="T3" s="17"/>
      <c r="U3" s="17"/>
      <c r="V3" s="17"/>
      <c r="W3" s="17"/>
      <c r="X3" s="42" t="str">
        <f aca="false">IF(SUM(Y3:AD3)&gt;0, 1, "")</f>
        <v/>
      </c>
      <c r="Y3" s="17"/>
      <c r="Z3" s="17"/>
      <c r="AA3" s="17"/>
      <c r="AB3" s="17"/>
      <c r="AC3" s="17"/>
      <c r="AD3" s="17"/>
      <c r="AE3" s="42" t="str">
        <f aca="false">IF(SUM(AF3:AK3)&gt;0, 1, "")</f>
        <v/>
      </c>
      <c r="AF3" s="17"/>
      <c r="AJ3" s="17"/>
      <c r="AK3" s="17"/>
      <c r="AL3" s="42" t="str">
        <f aca="false">IF(SUM(AM3:AR3)&gt;0, 1, "")</f>
        <v/>
      </c>
      <c r="AM3" s="17"/>
      <c r="AN3" s="17"/>
      <c r="AO3" s="17"/>
      <c r="AP3" s="17"/>
      <c r="AQ3" s="17"/>
      <c r="AR3" s="17"/>
      <c r="AS3" s="42" t="str">
        <f aca="false">IF(SUM(AT3:AY3)&gt;0, 1, "")</f>
        <v/>
      </c>
      <c r="AT3" s="17"/>
      <c r="AU3" s="17"/>
      <c r="AV3" s="17"/>
      <c r="AW3" s="17"/>
      <c r="AX3" s="17"/>
      <c r="AZ3" s="42" t="str">
        <f aca="false">IF(SUM(BA3:BF3)&gt;0, 1, "")</f>
        <v/>
      </c>
      <c r="BB3" s="17"/>
      <c r="BC3" s="17"/>
      <c r="BE3" s="17"/>
      <c r="BF3" s="17"/>
      <c r="BG3" s="42" t="str">
        <f aca="false">IF(SUM(BH3:BM3)&gt;0, 1, "")</f>
        <v/>
      </c>
      <c r="BH3" s="17"/>
      <c r="BI3" s="17"/>
      <c r="BJ3" s="17"/>
      <c r="BK3" s="17"/>
      <c r="BL3" s="17"/>
      <c r="BM3" s="17"/>
    </row>
    <row r="4" customFormat="false" ht="15" hidden="false" customHeight="false" outlineLevel="0" collapsed="false">
      <c r="A4" s="17" t="s">
        <v>72</v>
      </c>
      <c r="B4" s="17" t="s">
        <v>73</v>
      </c>
      <c r="C4" s="42" t="str">
        <f aca="false">IF(SUM(D4:I4)&gt;0, 1, "")</f>
        <v/>
      </c>
      <c r="D4" s="17"/>
      <c r="E4" s="17"/>
      <c r="F4" s="17"/>
      <c r="G4" s="17"/>
      <c r="H4" s="17"/>
      <c r="I4" s="17"/>
      <c r="J4" s="42" t="str">
        <f aca="false">IF(SUM(K4:P4)&gt;0, 1, "")</f>
        <v/>
      </c>
      <c r="K4" s="17"/>
      <c r="L4" s="17"/>
      <c r="M4" s="17"/>
      <c r="N4" s="17"/>
      <c r="O4" s="17"/>
      <c r="P4" s="17"/>
      <c r="Q4" s="42" t="str">
        <f aca="false">IF(SUM(R4:W4)&gt;0, 1, "")</f>
        <v/>
      </c>
      <c r="R4" s="17"/>
      <c r="S4" s="17"/>
      <c r="T4" s="17"/>
      <c r="U4" s="17"/>
      <c r="V4" s="17"/>
      <c r="W4" s="17"/>
      <c r="X4" s="42" t="str">
        <f aca="false">IF(SUM(Y4:AD4)&gt;0, 1, "")</f>
        <v/>
      </c>
      <c r="Y4" s="17"/>
      <c r="Z4" s="17"/>
      <c r="AA4" s="17"/>
      <c r="AB4" s="17"/>
      <c r="AC4" s="17"/>
      <c r="AD4" s="17"/>
      <c r="AE4" s="42" t="str">
        <f aca="false">IF(SUM(AF4:AK4)&gt;0, 1, "")</f>
        <v/>
      </c>
      <c r="AF4" s="17"/>
      <c r="AJ4" s="17"/>
      <c r="AK4" s="17"/>
      <c r="AL4" s="42" t="str">
        <f aca="false">IF(SUM(AM4:AR4)&gt;0, 1, "")</f>
        <v/>
      </c>
      <c r="AM4" s="17"/>
      <c r="AN4" s="17"/>
      <c r="AO4" s="17"/>
      <c r="AP4" s="17"/>
      <c r="AQ4" s="17"/>
      <c r="AR4" s="17"/>
      <c r="AS4" s="42" t="str">
        <f aca="false">IF(SUM(AT4:AY4)&gt;0, 1, "")</f>
        <v/>
      </c>
      <c r="AT4" s="17"/>
      <c r="AU4" s="17"/>
      <c r="AV4" s="17"/>
      <c r="AW4" s="17"/>
      <c r="AX4" s="17"/>
      <c r="AZ4" s="42" t="str">
        <f aca="false">IF(SUM(BA4:BF4)&gt;0, 1, "")</f>
        <v/>
      </c>
      <c r="BB4" s="17"/>
      <c r="BC4" s="17"/>
      <c r="BD4" s="17"/>
      <c r="BE4" s="17"/>
      <c r="BF4" s="17"/>
      <c r="BG4" s="42" t="str">
        <f aca="false">IF(SUM(BH4:BM4)&gt;0, 1, "")</f>
        <v/>
      </c>
      <c r="BH4" s="17"/>
      <c r="BI4" s="17"/>
      <c r="BJ4" s="17"/>
      <c r="BK4" s="17"/>
      <c r="BL4" s="17"/>
      <c r="BM4" s="17"/>
    </row>
    <row r="5" customFormat="false" ht="15" hidden="false" customHeight="false" outlineLevel="0" collapsed="false">
      <c r="A5" s="17" t="s">
        <v>74</v>
      </c>
      <c r="B5" s="17" t="s">
        <v>75</v>
      </c>
      <c r="C5" s="42" t="str">
        <f aca="false">IF(SUM(D5:I5)&gt;0, 1, "")</f>
        <v/>
      </c>
      <c r="D5" s="17"/>
      <c r="E5" s="17"/>
      <c r="F5" s="17"/>
      <c r="G5" s="17"/>
      <c r="H5" s="17"/>
      <c r="I5" s="17"/>
      <c r="J5" s="42" t="str">
        <f aca="false">IF(SUM(K5:P5)&gt;0, 1, "")</f>
        <v/>
      </c>
      <c r="K5" s="17"/>
      <c r="L5" s="17"/>
      <c r="M5" s="17"/>
      <c r="N5" s="17"/>
      <c r="O5" s="17"/>
      <c r="P5" s="17"/>
      <c r="Q5" s="42" t="str">
        <f aca="false">IF(SUM(R5:W5)&gt;0, 1, "")</f>
        <v/>
      </c>
      <c r="R5" s="17"/>
      <c r="S5" s="17"/>
      <c r="T5" s="17"/>
      <c r="U5" s="17"/>
      <c r="V5" s="17"/>
      <c r="W5" s="17"/>
      <c r="X5" s="42" t="str">
        <f aca="false">IF(SUM(Y5:AD5)&gt;0, 1, "")</f>
        <v/>
      </c>
      <c r="Y5" s="17"/>
      <c r="Z5" s="17"/>
      <c r="AA5" s="17"/>
      <c r="AB5" s="17"/>
      <c r="AC5" s="17"/>
      <c r="AD5" s="17"/>
      <c r="AE5" s="42" t="str">
        <f aca="false">IF(SUM(AF5:AK5)&gt;0, 1, "")</f>
        <v/>
      </c>
      <c r="AF5" s="17"/>
      <c r="AJ5" s="17"/>
      <c r="AK5" s="17"/>
      <c r="AL5" s="42" t="str">
        <f aca="false">IF(SUM(AM5:AR5)&gt;0, 1, "")</f>
        <v/>
      </c>
      <c r="AM5" s="17"/>
      <c r="AN5" s="17"/>
      <c r="AO5" s="17"/>
      <c r="AP5" s="17"/>
      <c r="AQ5" s="17"/>
      <c r="AR5" s="17"/>
      <c r="AS5" s="42" t="str">
        <f aca="false">IF(SUM(AT5:AY5)&gt;0, 1, "")</f>
        <v/>
      </c>
      <c r="AT5" s="17"/>
      <c r="AU5" s="17"/>
      <c r="AV5" s="17"/>
      <c r="AZ5" s="42" t="str">
        <f aca="false">IF(SUM(BA5:BF5)&gt;0, 1, "")</f>
        <v/>
      </c>
      <c r="BB5" s="17"/>
      <c r="BC5" s="17"/>
      <c r="BD5" s="17"/>
      <c r="BE5" s="17"/>
      <c r="BF5" s="17"/>
      <c r="BG5" s="42" t="str">
        <f aca="false">IF(SUM(BH5:BM5)&gt;0, 1, "")</f>
        <v/>
      </c>
      <c r="BH5" s="17"/>
      <c r="BI5" s="17"/>
      <c r="BJ5" s="17"/>
      <c r="BK5" s="17"/>
      <c r="BL5" s="17"/>
      <c r="BM5" s="17"/>
    </row>
    <row r="6" customFormat="false" ht="15" hidden="false" customHeight="false" outlineLevel="0" collapsed="false">
      <c r="A6" s="17" t="s">
        <v>76</v>
      </c>
      <c r="B6" s="17" t="s">
        <v>77</v>
      </c>
      <c r="C6" s="42" t="str">
        <f aca="false">IF(SUM(D6:I6)&gt;0, 1, "")</f>
        <v/>
      </c>
      <c r="D6" s="17"/>
      <c r="E6" s="17"/>
      <c r="F6" s="17"/>
      <c r="G6" s="17"/>
      <c r="H6" s="17"/>
      <c r="I6" s="17"/>
      <c r="J6" s="42" t="str">
        <f aca="false">IF(SUM(K6:P6)&gt;0, 1, "")</f>
        <v/>
      </c>
      <c r="K6" s="17"/>
      <c r="L6" s="17"/>
      <c r="M6" s="17"/>
      <c r="N6" s="17"/>
      <c r="O6" s="17"/>
      <c r="P6" s="17"/>
      <c r="Q6" s="42" t="str">
        <f aca="false">IF(SUM(R6:W6)&gt;0, 1, "")</f>
        <v/>
      </c>
      <c r="R6" s="17"/>
      <c r="S6" s="17"/>
      <c r="T6" s="17"/>
      <c r="U6" s="17"/>
      <c r="V6" s="17"/>
      <c r="W6" s="17"/>
      <c r="X6" s="42" t="str">
        <f aca="false">IF(SUM(Y6:AD6)&gt;0, 1, "")</f>
        <v/>
      </c>
      <c r="Y6" s="17"/>
      <c r="Z6" s="17"/>
      <c r="AA6" s="17"/>
      <c r="AB6" s="17"/>
      <c r="AC6" s="17"/>
      <c r="AD6" s="17"/>
      <c r="AE6" s="42" t="str">
        <f aca="false">IF(SUM(AF6:AK6)&gt;0, 1, "")</f>
        <v/>
      </c>
      <c r="AF6" s="17"/>
      <c r="AJ6" s="17"/>
      <c r="AK6" s="17"/>
      <c r="AL6" s="42" t="str">
        <f aca="false">IF(SUM(AM6:AR6)&gt;0, 1, "")</f>
        <v/>
      </c>
      <c r="AM6" s="17"/>
      <c r="AN6" s="17"/>
      <c r="AO6" s="17"/>
      <c r="AP6" s="17"/>
      <c r="AQ6" s="17"/>
      <c r="AR6" s="17"/>
      <c r="AS6" s="42" t="str">
        <f aca="false">IF(SUM(AT6:AY6)&gt;0, 1, "")</f>
        <v/>
      </c>
      <c r="AT6" s="17"/>
      <c r="AU6" s="17"/>
      <c r="AV6" s="17"/>
      <c r="AZ6" s="42" t="str">
        <f aca="false">IF(SUM(BA6:BF6)&gt;0, 1, "")</f>
        <v/>
      </c>
      <c r="BB6" s="17"/>
      <c r="BC6" s="17"/>
      <c r="BD6" s="17"/>
      <c r="BE6" s="17"/>
      <c r="BF6" s="17"/>
      <c r="BG6" s="42" t="str">
        <f aca="false">IF(SUM(BH6:BM6)&gt;0, 1, "")</f>
        <v/>
      </c>
      <c r="BH6" s="17"/>
      <c r="BI6" s="17"/>
      <c r="BJ6" s="17"/>
      <c r="BK6" s="17"/>
      <c r="BL6" s="17"/>
      <c r="BM6" s="17"/>
    </row>
    <row r="7" customFormat="false" ht="15" hidden="false" customHeight="false" outlineLevel="0" collapsed="false">
      <c r="A7" s="17" t="s">
        <v>78</v>
      </c>
      <c r="B7" s="17" t="s">
        <v>79</v>
      </c>
      <c r="C7" s="42" t="str">
        <f aca="false">IF(SUM(D7:I7)&gt;0, 1, "")</f>
        <v/>
      </c>
      <c r="D7" s="17"/>
      <c r="E7" s="17"/>
      <c r="F7" s="17"/>
      <c r="G7" s="17"/>
      <c r="H7" s="17"/>
      <c r="I7" s="17"/>
      <c r="J7" s="42" t="str">
        <f aca="false">IF(SUM(K7:P7)&gt;0, 1, "")</f>
        <v/>
      </c>
      <c r="K7" s="17"/>
      <c r="L7" s="17"/>
      <c r="M7" s="17"/>
      <c r="N7" s="17"/>
      <c r="O7" s="17"/>
      <c r="P7" s="17"/>
      <c r="Q7" s="42" t="str">
        <f aca="false">IF(SUM(R7:W7)&gt;0, 1, "")</f>
        <v/>
      </c>
      <c r="R7" s="17"/>
      <c r="S7" s="17"/>
      <c r="T7" s="17"/>
      <c r="U7" s="17"/>
      <c r="V7" s="17"/>
      <c r="W7" s="17"/>
      <c r="X7" s="42" t="str">
        <f aca="false">IF(SUM(Y7:AD7)&gt;0, 1, "")</f>
        <v/>
      </c>
      <c r="Y7" s="17"/>
      <c r="Z7" s="17"/>
      <c r="AA7" s="17"/>
      <c r="AB7" s="17"/>
      <c r="AC7" s="17"/>
      <c r="AD7" s="17"/>
      <c r="AE7" s="42" t="str">
        <f aca="false">IF(SUM(AF7:AK7)&gt;0, 1, "")</f>
        <v/>
      </c>
      <c r="AF7" s="17"/>
      <c r="AJ7" s="17"/>
      <c r="AK7" s="17"/>
      <c r="AL7" s="42" t="str">
        <f aca="false">IF(SUM(AM7:AR7)&gt;0, 1, "")</f>
        <v/>
      </c>
      <c r="AM7" s="17"/>
      <c r="AN7" s="17"/>
      <c r="AO7" s="17"/>
      <c r="AP7" s="17"/>
      <c r="AQ7" s="17"/>
      <c r="AR7" s="17"/>
      <c r="AS7" s="42" t="str">
        <f aca="false">IF(SUM(AT7:AY7)&gt;0, 1, "")</f>
        <v/>
      </c>
      <c r="AT7" s="17"/>
      <c r="AU7" s="17"/>
      <c r="AV7" s="17"/>
      <c r="AW7" s="17"/>
      <c r="AX7" s="17"/>
      <c r="AZ7" s="42" t="str">
        <f aca="false">IF(SUM(BA7:BF7)&gt;0, 1, "")</f>
        <v/>
      </c>
      <c r="BB7" s="17"/>
      <c r="BC7" s="17"/>
      <c r="BD7" s="17"/>
      <c r="BE7" s="17"/>
      <c r="BF7" s="17"/>
      <c r="BG7" s="42" t="str">
        <f aca="false">IF(SUM(BH7:BM7)&gt;0, 1, "")</f>
        <v/>
      </c>
      <c r="BH7" s="17"/>
      <c r="BI7" s="17"/>
      <c r="BJ7" s="17"/>
      <c r="BK7" s="17"/>
      <c r="BL7" s="17"/>
      <c r="BM7" s="17"/>
    </row>
    <row r="8" customFormat="false" ht="15" hidden="false" customHeight="false" outlineLevel="0" collapsed="false">
      <c r="A8" s="17" t="s">
        <v>80</v>
      </c>
      <c r="B8" s="17" t="s">
        <v>81</v>
      </c>
      <c r="C8" s="42" t="str">
        <f aca="false">IF(SUM(D8:I8)&gt;0, 1, "")</f>
        <v/>
      </c>
      <c r="D8" s="17"/>
      <c r="E8" s="17"/>
      <c r="F8" s="17"/>
      <c r="G8" s="17"/>
      <c r="H8" s="17"/>
      <c r="I8" s="17"/>
      <c r="J8" s="42" t="str">
        <f aca="false">IF(SUM(K8:P8)&gt;0, 1, "")</f>
        <v/>
      </c>
      <c r="K8" s="17"/>
      <c r="L8" s="17"/>
      <c r="M8" s="17"/>
      <c r="N8" s="17"/>
      <c r="O8" s="17"/>
      <c r="P8" s="17"/>
      <c r="Q8" s="42" t="str">
        <f aca="false">IF(SUM(R8:W8)&gt;0, 1, "")</f>
        <v/>
      </c>
      <c r="R8" s="17"/>
      <c r="S8" s="17"/>
      <c r="T8" s="17"/>
      <c r="U8" s="17"/>
      <c r="V8" s="17"/>
      <c r="W8" s="17"/>
      <c r="X8" s="42" t="str">
        <f aca="false">IF(SUM(Y8:AD8)&gt;0, 1, "")</f>
        <v/>
      </c>
      <c r="Y8" s="17"/>
      <c r="Z8" s="17"/>
      <c r="AA8" s="17"/>
      <c r="AB8" s="17"/>
      <c r="AC8" s="17"/>
      <c r="AD8" s="17"/>
      <c r="AE8" s="42" t="str">
        <f aca="false">IF(SUM(AF8:AK8)&gt;0, 1, "")</f>
        <v/>
      </c>
      <c r="AF8" s="17"/>
      <c r="AJ8" s="17"/>
      <c r="AK8" s="17"/>
      <c r="AL8" s="42" t="str">
        <f aca="false">IF(SUM(AM8:AR8)&gt;0, 1, "")</f>
        <v/>
      </c>
      <c r="AM8" s="17"/>
      <c r="AN8" s="17"/>
      <c r="AO8" s="17"/>
      <c r="AP8" s="17"/>
      <c r="AQ8" s="17"/>
      <c r="AR8" s="17"/>
      <c r="AS8" s="42" t="str">
        <f aca="false">IF(SUM(AT8:AY8)&gt;0, 1, "")</f>
        <v/>
      </c>
      <c r="AT8" s="17"/>
      <c r="AU8" s="17"/>
      <c r="AV8" s="17"/>
      <c r="AW8" s="17"/>
      <c r="AX8" s="17"/>
      <c r="AZ8" s="42" t="str">
        <f aca="false">IF(SUM(BA8:BF8)&gt;0, 1, "")</f>
        <v/>
      </c>
      <c r="BB8" s="17"/>
      <c r="BC8" s="17"/>
      <c r="BD8" s="17"/>
      <c r="BE8" s="17"/>
      <c r="BF8" s="17"/>
      <c r="BG8" s="42" t="str">
        <f aca="false">IF(SUM(BH8:BM8)&gt;0, 1, "")</f>
        <v/>
      </c>
      <c r="BH8" s="17"/>
      <c r="BI8" s="17"/>
      <c r="BJ8" s="17"/>
      <c r="BK8" s="17"/>
      <c r="BL8" s="17"/>
      <c r="BM8" s="17"/>
    </row>
    <row r="9" customFormat="false" ht="15" hidden="false" customHeight="false" outlineLevel="0" collapsed="false">
      <c r="A9" s="17" t="s">
        <v>82</v>
      </c>
      <c r="B9" s="17" t="s">
        <v>83</v>
      </c>
      <c r="C9" s="42" t="str">
        <f aca="false">IF(SUM(D9:I9)&gt;0, 1, "")</f>
        <v/>
      </c>
      <c r="D9" s="17"/>
      <c r="E9" s="17"/>
      <c r="F9" s="17"/>
      <c r="G9" s="17"/>
      <c r="H9" s="17"/>
      <c r="I9" s="17"/>
      <c r="J9" s="42" t="str">
        <f aca="false">IF(SUM(K9:P9)&gt;0, 1, "")</f>
        <v/>
      </c>
      <c r="K9" s="17"/>
      <c r="L9" s="17"/>
      <c r="M9" s="17"/>
      <c r="N9" s="17"/>
      <c r="O9" s="17"/>
      <c r="P9" s="17"/>
      <c r="Q9" s="42" t="str">
        <f aca="false">IF(SUM(R9:W9)&gt;0, 1, "")</f>
        <v/>
      </c>
      <c r="R9" s="17"/>
      <c r="S9" s="17"/>
      <c r="T9" s="17"/>
      <c r="U9" s="17"/>
      <c r="V9" s="17"/>
      <c r="W9" s="17"/>
      <c r="X9" s="42" t="str">
        <f aca="false">IF(SUM(Y9:AD9)&gt;0, 1, "")</f>
        <v/>
      </c>
      <c r="Y9" s="17"/>
      <c r="Z9" s="17"/>
      <c r="AA9" s="17"/>
      <c r="AB9" s="17"/>
      <c r="AC9" s="17"/>
      <c r="AD9" s="17"/>
      <c r="AE9" s="42" t="str">
        <f aca="false">IF(SUM(AF9:AK9)&gt;0, 1, "")</f>
        <v/>
      </c>
      <c r="AF9" s="17"/>
      <c r="AJ9" s="17"/>
      <c r="AK9" s="17"/>
      <c r="AL9" s="42" t="str">
        <f aca="false">IF(SUM(AM9:AR9)&gt;0, 1, "")</f>
        <v/>
      </c>
      <c r="AM9" s="17"/>
      <c r="AN9" s="17"/>
      <c r="AO9" s="17"/>
      <c r="AP9" s="17"/>
      <c r="AQ9" s="17"/>
      <c r="AR9" s="17"/>
      <c r="AS9" s="42" t="str">
        <f aca="false">IF(SUM(AT9:AY9)&gt;0, 1, "")</f>
        <v/>
      </c>
      <c r="AT9" s="17"/>
      <c r="AU9" s="17"/>
      <c r="AV9" s="17"/>
      <c r="AW9" s="17"/>
      <c r="AX9" s="17"/>
      <c r="AZ9" s="42" t="str">
        <f aca="false">IF(SUM(BA9:BF9)&gt;0, 1, "")</f>
        <v/>
      </c>
      <c r="BB9" s="17"/>
      <c r="BC9" s="17"/>
      <c r="BD9" s="17"/>
      <c r="BE9" s="17"/>
      <c r="BF9" s="17"/>
      <c r="BG9" s="42" t="str">
        <f aca="false">IF(SUM(BH9:BM9)&gt;0, 1, "")</f>
        <v/>
      </c>
      <c r="BH9" s="17"/>
      <c r="BI9" s="17"/>
      <c r="BJ9" s="17"/>
      <c r="BK9" s="17"/>
      <c r="BL9" s="17"/>
      <c r="BM9" s="17"/>
    </row>
    <row r="10" customFormat="false" ht="15" hidden="false" customHeight="false" outlineLevel="0" collapsed="false">
      <c r="A10" s="17" t="s">
        <v>84</v>
      </c>
      <c r="B10" s="17" t="s">
        <v>85</v>
      </c>
      <c r="C10" s="42" t="str">
        <f aca="false">IF(SUM(D10:I10)&gt;0, 1, "")</f>
        <v/>
      </c>
      <c r="D10" s="17"/>
      <c r="E10" s="17"/>
      <c r="F10" s="17"/>
      <c r="G10" s="17"/>
      <c r="H10" s="17"/>
      <c r="I10" s="17"/>
      <c r="J10" s="42" t="str">
        <f aca="false">IF(SUM(K10:P10)&gt;0, 1, "")</f>
        <v/>
      </c>
      <c r="K10" s="17"/>
      <c r="L10" s="17"/>
      <c r="M10" s="17"/>
      <c r="N10" s="17"/>
      <c r="O10" s="17"/>
      <c r="P10" s="17"/>
      <c r="Q10" s="42" t="str">
        <f aca="false">IF(SUM(R10:W10)&gt;0, 1, "")</f>
        <v/>
      </c>
      <c r="R10" s="17"/>
      <c r="S10" s="17"/>
      <c r="T10" s="17"/>
      <c r="U10" s="17"/>
      <c r="V10" s="17"/>
      <c r="W10" s="17"/>
      <c r="X10" s="42" t="str">
        <f aca="false">IF(SUM(Y10:AD10)&gt;0, 1, "")</f>
        <v/>
      </c>
      <c r="Y10" s="17"/>
      <c r="Z10" s="17"/>
      <c r="AA10" s="17"/>
      <c r="AB10" s="17"/>
      <c r="AC10" s="17"/>
      <c r="AD10" s="17"/>
      <c r="AE10" s="42" t="str">
        <f aca="false">IF(SUM(AF10:AK10)&gt;0, 1, "")</f>
        <v/>
      </c>
      <c r="AF10" s="17"/>
      <c r="AJ10" s="17"/>
      <c r="AK10" s="17"/>
      <c r="AL10" s="42" t="str">
        <f aca="false">IF(SUM(AM10:AR10)&gt;0, 1, "")</f>
        <v/>
      </c>
      <c r="AM10" s="17"/>
      <c r="AN10" s="17"/>
      <c r="AO10" s="17"/>
      <c r="AP10" s="17"/>
      <c r="AQ10" s="17"/>
      <c r="AR10" s="17"/>
      <c r="AS10" s="42" t="str">
        <f aca="false">IF(SUM(AT10:AY10)&gt;0, 1, "")</f>
        <v/>
      </c>
      <c r="AT10" s="17"/>
      <c r="AU10" s="17"/>
      <c r="AV10" s="17"/>
      <c r="AW10" s="17"/>
      <c r="AX10" s="17"/>
      <c r="AZ10" s="42" t="str">
        <f aca="false">IF(SUM(BA10:BF10)&gt;0, 1, "")</f>
        <v/>
      </c>
      <c r="BB10" s="17"/>
      <c r="BC10" s="17"/>
      <c r="BD10" s="17"/>
      <c r="BE10" s="17"/>
      <c r="BF10" s="17"/>
      <c r="BG10" s="42" t="str">
        <f aca="false">IF(SUM(BH10:BM10)&gt;0, 1, "")</f>
        <v/>
      </c>
      <c r="BH10" s="17"/>
      <c r="BI10" s="17"/>
      <c r="BJ10" s="17"/>
      <c r="BK10" s="17"/>
      <c r="BL10" s="17"/>
      <c r="BM10" s="17"/>
    </row>
    <row r="11" customFormat="false" ht="15" hidden="false" customHeight="false" outlineLevel="0" collapsed="false">
      <c r="A11" s="17" t="s">
        <v>86</v>
      </c>
      <c r="B11" s="17" t="s">
        <v>87</v>
      </c>
      <c r="C11" s="42" t="str">
        <f aca="false">IF(SUM(D11:I11)&gt;0, 1, "")</f>
        <v/>
      </c>
      <c r="D11" s="17"/>
      <c r="E11" s="17"/>
      <c r="F11" s="17"/>
      <c r="G11" s="17"/>
      <c r="H11" s="17"/>
      <c r="I11" s="17"/>
      <c r="J11" s="42" t="str">
        <f aca="false">IF(SUM(K11:P11)&gt;0, 1, "")</f>
        <v/>
      </c>
      <c r="K11" s="17"/>
      <c r="L11" s="17"/>
      <c r="M11" s="17"/>
      <c r="N11" s="17"/>
      <c r="O11" s="17"/>
      <c r="P11" s="17"/>
      <c r="Q11" s="42" t="str">
        <f aca="false">IF(SUM(R11:W11)&gt;0, 1, "")</f>
        <v/>
      </c>
      <c r="R11" s="17"/>
      <c r="S11" s="17"/>
      <c r="T11" s="17"/>
      <c r="U11" s="17"/>
      <c r="V11" s="17"/>
      <c r="W11" s="17"/>
      <c r="X11" s="42" t="str">
        <f aca="false">IF(SUM(Y11:AD11)&gt;0, 1, "")</f>
        <v/>
      </c>
      <c r="Y11" s="17"/>
      <c r="Z11" s="17"/>
      <c r="AA11" s="17"/>
      <c r="AB11" s="17"/>
      <c r="AC11" s="17"/>
      <c r="AD11" s="17"/>
      <c r="AE11" s="42" t="str">
        <f aca="false">IF(SUM(AF11:AK11)&gt;0, 1, "")</f>
        <v/>
      </c>
      <c r="AF11" s="17"/>
      <c r="AJ11" s="17"/>
      <c r="AK11" s="17"/>
      <c r="AL11" s="42" t="str">
        <f aca="false">IF(SUM(AM11:AR11)&gt;0, 1, "")</f>
        <v/>
      </c>
      <c r="AM11" s="17"/>
      <c r="AN11" s="17"/>
      <c r="AO11" s="17"/>
      <c r="AP11" s="17"/>
      <c r="AQ11" s="17"/>
      <c r="AR11" s="17"/>
      <c r="AS11" s="42" t="str">
        <f aca="false">IF(SUM(AT11:AY11)&gt;0, 1, "")</f>
        <v/>
      </c>
      <c r="AT11" s="17"/>
      <c r="AU11" s="17"/>
      <c r="AV11" s="17"/>
      <c r="AW11" s="17"/>
      <c r="AX11" s="17"/>
      <c r="AZ11" s="42" t="str">
        <f aca="false">IF(SUM(BA11:BF11)&gt;0, 1, "")</f>
        <v/>
      </c>
      <c r="BB11" s="17"/>
      <c r="BC11" s="17"/>
      <c r="BD11" s="17"/>
      <c r="BE11" s="17"/>
      <c r="BF11" s="17"/>
      <c r="BG11" s="42" t="str">
        <f aca="false">IF(SUM(BH11:BM11)&gt;0, 1, "")</f>
        <v/>
      </c>
      <c r="BH11" s="17"/>
      <c r="BI11" s="17"/>
      <c r="BJ11" s="17"/>
      <c r="BK11" s="17"/>
      <c r="BL11" s="17"/>
      <c r="BM11" s="17"/>
    </row>
    <row r="12" customFormat="false" ht="15" hidden="false" customHeight="false" outlineLevel="0" collapsed="false">
      <c r="A12" s="17" t="s">
        <v>88</v>
      </c>
      <c r="B12" s="17" t="s">
        <v>89</v>
      </c>
      <c r="C12" s="42" t="str">
        <f aca="false">IF(SUM(D12:I12)&gt;0, 1, "")</f>
        <v/>
      </c>
      <c r="D12" s="17"/>
      <c r="E12" s="17"/>
      <c r="F12" s="17"/>
      <c r="G12" s="17"/>
      <c r="H12" s="17"/>
      <c r="I12" s="17"/>
      <c r="J12" s="42" t="str">
        <f aca="false">IF(SUM(K12:P12)&gt;0, 1, "")</f>
        <v/>
      </c>
      <c r="K12" s="17"/>
      <c r="L12" s="17"/>
      <c r="M12" s="17"/>
      <c r="N12" s="17"/>
      <c r="O12" s="17"/>
      <c r="P12" s="17"/>
      <c r="Q12" s="42" t="str">
        <f aca="false">IF(SUM(R12:W12)&gt;0, 1, "")</f>
        <v/>
      </c>
      <c r="R12" s="17"/>
      <c r="S12" s="17"/>
      <c r="T12" s="17"/>
      <c r="U12" s="17"/>
      <c r="V12" s="17"/>
      <c r="W12" s="17"/>
      <c r="X12" s="42" t="str">
        <f aca="false">IF(SUM(Y12:AD12)&gt;0, 1, "")</f>
        <v/>
      </c>
      <c r="Y12" s="17"/>
      <c r="Z12" s="17"/>
      <c r="AA12" s="17"/>
      <c r="AB12" s="17"/>
      <c r="AC12" s="17"/>
      <c r="AD12" s="17"/>
      <c r="AE12" s="42" t="str">
        <f aca="false">IF(SUM(AF12:AK12)&gt;0, 1, "")</f>
        <v/>
      </c>
      <c r="AF12" s="17"/>
      <c r="AJ12" s="17"/>
      <c r="AK12" s="17"/>
      <c r="AL12" s="42" t="str">
        <f aca="false">IF(SUM(AM12:AR12)&gt;0, 1, "")</f>
        <v/>
      </c>
      <c r="AM12" s="17"/>
      <c r="AN12" s="17"/>
      <c r="AO12" s="17"/>
      <c r="AP12" s="17"/>
      <c r="AQ12" s="17"/>
      <c r="AR12" s="17"/>
      <c r="AS12" s="42" t="str">
        <f aca="false">IF(SUM(AT12:AY12)&gt;0, 1, "")</f>
        <v/>
      </c>
      <c r="AT12" s="17"/>
      <c r="AU12" s="17"/>
      <c r="AV12" s="17"/>
      <c r="AW12" s="17"/>
      <c r="AX12" s="17"/>
      <c r="AZ12" s="42" t="str">
        <f aca="false">IF(SUM(BA12:BF12)&gt;0, 1, "")</f>
        <v/>
      </c>
      <c r="BB12" s="17"/>
      <c r="BC12" s="17"/>
      <c r="BD12" s="17"/>
      <c r="BE12" s="17"/>
      <c r="BF12" s="17"/>
      <c r="BG12" s="42" t="str">
        <f aca="false">IF(SUM(BH12:BM12)&gt;0, 1, "")</f>
        <v/>
      </c>
      <c r="BH12" s="17"/>
      <c r="BI12" s="17"/>
      <c r="BJ12" s="17"/>
      <c r="BK12" s="17"/>
      <c r="BL12" s="17"/>
      <c r="BM12" s="17"/>
    </row>
    <row r="13" customFormat="false" ht="15" hidden="false" customHeight="false" outlineLevel="0" collapsed="false">
      <c r="A13" s="17" t="s">
        <v>90</v>
      </c>
      <c r="B13" s="17" t="s">
        <v>91</v>
      </c>
      <c r="C13" s="42" t="str">
        <f aca="false">IF(SUM(D13:I13)&gt;0, 1, "")</f>
        <v/>
      </c>
      <c r="D13" s="17"/>
      <c r="E13" s="17"/>
      <c r="F13" s="17"/>
      <c r="G13" s="17"/>
      <c r="H13" s="17"/>
      <c r="I13" s="17"/>
      <c r="J13" s="42" t="str">
        <f aca="false">IF(SUM(K13:P13)&gt;0, 1, "")</f>
        <v/>
      </c>
      <c r="K13" s="17"/>
      <c r="L13" s="17"/>
      <c r="M13" s="17"/>
      <c r="N13" s="17"/>
      <c r="O13" s="17"/>
      <c r="P13" s="17"/>
      <c r="Q13" s="42" t="str">
        <f aca="false">IF(SUM(R13:W13)&gt;0, 1, "")</f>
        <v/>
      </c>
      <c r="R13" s="17"/>
      <c r="S13" s="17"/>
      <c r="T13" s="17"/>
      <c r="U13" s="17"/>
      <c r="V13" s="17"/>
      <c r="W13" s="17"/>
      <c r="X13" s="42" t="str">
        <f aca="false">IF(SUM(Y13:AD13)&gt;0, 1, "")</f>
        <v/>
      </c>
      <c r="Y13" s="17"/>
      <c r="Z13" s="17"/>
      <c r="AA13" s="17"/>
      <c r="AB13" s="17"/>
      <c r="AC13" s="17"/>
      <c r="AD13" s="17"/>
      <c r="AE13" s="42" t="str">
        <f aca="false">IF(SUM(AF13:AK13)&gt;0, 1, "")</f>
        <v/>
      </c>
      <c r="AF13" s="17"/>
      <c r="AJ13" s="17"/>
      <c r="AK13" s="17"/>
      <c r="AL13" s="42" t="str">
        <f aca="false">IF(SUM(AM13:AR13)&gt;0, 1, "")</f>
        <v/>
      </c>
      <c r="AM13" s="17"/>
      <c r="AN13" s="17"/>
      <c r="AO13" s="17"/>
      <c r="AP13" s="17"/>
      <c r="AQ13" s="17"/>
      <c r="AR13" s="17"/>
      <c r="AS13" s="42" t="str">
        <f aca="false">IF(SUM(AT13:AY13)&gt;0, 1, "")</f>
        <v/>
      </c>
      <c r="AT13" s="17"/>
      <c r="AU13" s="17"/>
      <c r="AV13" s="17"/>
      <c r="AW13" s="17"/>
      <c r="AX13" s="17"/>
      <c r="AZ13" s="42" t="str">
        <f aca="false">IF(SUM(BA13:BF13)&gt;0, 1, "")</f>
        <v/>
      </c>
      <c r="BB13" s="17"/>
      <c r="BC13" s="17"/>
      <c r="BD13" s="17"/>
      <c r="BE13" s="17"/>
      <c r="BF13" s="17"/>
      <c r="BG13" s="42" t="str">
        <f aca="false">IF(SUM(BH13:BM13)&gt;0, 1, "")</f>
        <v/>
      </c>
      <c r="BH13" s="17"/>
      <c r="BI13" s="17"/>
      <c r="BJ13" s="17"/>
      <c r="BK13" s="17"/>
      <c r="BL13" s="17"/>
      <c r="BM13" s="17"/>
    </row>
    <row r="14" customFormat="false" ht="15" hidden="false" customHeight="false" outlineLevel="0" collapsed="false">
      <c r="A14" s="17" t="s">
        <v>92</v>
      </c>
      <c r="B14" s="17" t="s">
        <v>93</v>
      </c>
      <c r="C14" s="42" t="str">
        <f aca="false">IF(SUM(D14:I14)&gt;0, 1, "")</f>
        <v/>
      </c>
      <c r="D14" s="17"/>
      <c r="E14" s="17"/>
      <c r="F14" s="17"/>
      <c r="G14" s="17"/>
      <c r="H14" s="17"/>
      <c r="I14" s="17"/>
      <c r="J14" s="42" t="str">
        <f aca="false">IF(SUM(K14:P14)&gt;0, 1, "")</f>
        <v/>
      </c>
      <c r="K14" s="17"/>
      <c r="L14" s="17"/>
      <c r="M14" s="17"/>
      <c r="N14" s="17"/>
      <c r="O14" s="17"/>
      <c r="P14" s="17"/>
      <c r="Q14" s="42" t="str">
        <f aca="false">IF(SUM(R14:W14)&gt;0, 1, "")</f>
        <v/>
      </c>
      <c r="R14" s="17"/>
      <c r="S14" s="17"/>
      <c r="T14" s="17"/>
      <c r="U14" s="17"/>
      <c r="V14" s="17"/>
      <c r="W14" s="17"/>
      <c r="X14" s="42" t="str">
        <f aca="false">IF(SUM(Y14:AD14)&gt;0, 1, "")</f>
        <v/>
      </c>
      <c r="Y14" s="17"/>
      <c r="Z14" s="17"/>
      <c r="AA14" s="17"/>
      <c r="AB14" s="17"/>
      <c r="AC14" s="17"/>
      <c r="AD14" s="17"/>
      <c r="AE14" s="42" t="str">
        <f aca="false">IF(SUM(AF14:AK14)&gt;0, 1, "")</f>
        <v/>
      </c>
      <c r="AF14" s="17"/>
      <c r="AJ14" s="17"/>
      <c r="AK14" s="17"/>
      <c r="AL14" s="42" t="str">
        <f aca="false">IF(SUM(AM14:AR14)&gt;0, 1, "")</f>
        <v/>
      </c>
      <c r="AM14" s="17"/>
      <c r="AN14" s="17"/>
      <c r="AO14" s="17"/>
      <c r="AP14" s="17"/>
      <c r="AQ14" s="17"/>
      <c r="AR14" s="17"/>
      <c r="AS14" s="42" t="str">
        <f aca="false">IF(SUM(AT14:AY14)&gt;0, 1, "")</f>
        <v/>
      </c>
      <c r="AT14" s="17"/>
      <c r="AU14" s="17"/>
      <c r="AV14" s="17"/>
      <c r="AW14" s="17"/>
      <c r="AX14" s="17"/>
      <c r="AZ14" s="42" t="str">
        <f aca="false">IF(SUM(BA14:BF14)&gt;0, 1, "")</f>
        <v/>
      </c>
      <c r="BB14" s="17"/>
      <c r="BC14" s="17"/>
      <c r="BD14" s="17"/>
      <c r="BE14" s="17"/>
      <c r="BF14" s="17"/>
      <c r="BG14" s="42" t="str">
        <f aca="false">IF(SUM(BH14:BM14)&gt;0, 1, "")</f>
        <v/>
      </c>
      <c r="BH14" s="17"/>
      <c r="BI14" s="17"/>
      <c r="BJ14" s="17"/>
      <c r="BK14" s="17"/>
      <c r="BL14" s="17"/>
      <c r="BM14" s="17"/>
    </row>
    <row r="15" customFormat="false" ht="15" hidden="false" customHeight="false" outlineLevel="0" collapsed="false">
      <c r="A15" s="17" t="s">
        <v>94</v>
      </c>
      <c r="B15" s="17" t="s">
        <v>95</v>
      </c>
      <c r="C15" s="42" t="str">
        <f aca="false">IF(SUM(D15:I15)&gt;0, 1, "")</f>
        <v/>
      </c>
      <c r="D15" s="17"/>
      <c r="E15" s="17"/>
      <c r="F15" s="17"/>
      <c r="G15" s="17"/>
      <c r="H15" s="17"/>
      <c r="I15" s="17"/>
      <c r="J15" s="42" t="str">
        <f aca="false">IF(SUM(K15:P15)&gt;0, 1, "")</f>
        <v/>
      </c>
      <c r="K15" s="17"/>
      <c r="L15" s="17"/>
      <c r="M15" s="17"/>
      <c r="N15" s="17"/>
      <c r="O15" s="17"/>
      <c r="P15" s="17"/>
      <c r="Q15" s="42" t="str">
        <f aca="false">IF(SUM(R15:W15)&gt;0, 1, "")</f>
        <v/>
      </c>
      <c r="R15" s="17"/>
      <c r="S15" s="17"/>
      <c r="T15" s="17"/>
      <c r="U15" s="17"/>
      <c r="V15" s="17"/>
      <c r="W15" s="17"/>
      <c r="X15" s="42" t="str">
        <f aca="false">IF(SUM(Y15:AD15)&gt;0, 1, "")</f>
        <v/>
      </c>
      <c r="Y15" s="17"/>
      <c r="Z15" s="17"/>
      <c r="AA15" s="17"/>
      <c r="AB15" s="17"/>
      <c r="AC15" s="17"/>
      <c r="AD15" s="17"/>
      <c r="AE15" s="42" t="str">
        <f aca="false">IF(SUM(AF15:AK15)&gt;0, 1, "")</f>
        <v/>
      </c>
      <c r="AF15" s="17"/>
      <c r="AJ15" s="17"/>
      <c r="AK15" s="17"/>
      <c r="AL15" s="42" t="str">
        <f aca="false">IF(SUM(AM15:AR15)&gt;0, 1, "")</f>
        <v/>
      </c>
      <c r="AM15" s="17"/>
      <c r="AN15" s="17"/>
      <c r="AO15" s="17"/>
      <c r="AP15" s="17"/>
      <c r="AQ15" s="17"/>
      <c r="AR15" s="17"/>
      <c r="AS15" s="42" t="str">
        <f aca="false">IF(SUM(AT15:AY15)&gt;0, 1, "")</f>
        <v/>
      </c>
      <c r="AT15" s="17"/>
      <c r="AU15" s="17"/>
      <c r="AV15" s="17"/>
      <c r="AW15" s="17"/>
      <c r="AX15" s="17"/>
      <c r="AZ15" s="42" t="str">
        <f aca="false">IF(SUM(BA15:BF15)&gt;0, 1, "")</f>
        <v/>
      </c>
      <c r="BB15" s="17"/>
      <c r="BC15" s="17"/>
      <c r="BD15" s="17"/>
      <c r="BE15" s="17"/>
      <c r="BF15" s="17"/>
      <c r="BG15" s="42" t="str">
        <f aca="false">IF(SUM(BH15:BM15)&gt;0, 1, "")</f>
        <v/>
      </c>
      <c r="BH15" s="17"/>
      <c r="BI15" s="17"/>
      <c r="BJ15" s="17"/>
      <c r="BK15" s="17"/>
      <c r="BL15" s="17"/>
      <c r="BM15" s="17"/>
    </row>
    <row r="16" customFormat="false" ht="15" hidden="false" customHeight="false" outlineLevel="0" collapsed="false">
      <c r="A16" s="17" t="s">
        <v>96</v>
      </c>
      <c r="B16" s="17" t="s">
        <v>97</v>
      </c>
      <c r="C16" s="42" t="str">
        <f aca="false">IF(SUM(D16:I16)&gt;0, 1, "")</f>
        <v/>
      </c>
      <c r="D16" s="17"/>
      <c r="E16" s="17"/>
      <c r="F16" s="17"/>
      <c r="G16" s="17"/>
      <c r="H16" s="17"/>
      <c r="I16" s="17"/>
      <c r="J16" s="42" t="str">
        <f aca="false">IF(SUM(K16:P16)&gt;0, 1, "")</f>
        <v/>
      </c>
      <c r="K16" s="17"/>
      <c r="L16" s="17"/>
      <c r="M16" s="17"/>
      <c r="N16" s="17"/>
      <c r="O16" s="17"/>
      <c r="P16" s="17"/>
      <c r="Q16" s="42" t="str">
        <f aca="false">IF(SUM(R16:W16)&gt;0, 1, "")</f>
        <v/>
      </c>
      <c r="R16" s="17"/>
      <c r="S16" s="17"/>
      <c r="T16" s="17"/>
      <c r="U16" s="17"/>
      <c r="V16" s="17"/>
      <c r="W16" s="17"/>
      <c r="X16" s="42" t="str">
        <f aca="false">IF(SUM(Y16:AD16)&gt;0, 1, "")</f>
        <v/>
      </c>
      <c r="Y16" s="17"/>
      <c r="Z16" s="17"/>
      <c r="AA16" s="17"/>
      <c r="AB16" s="17"/>
      <c r="AC16" s="17"/>
      <c r="AD16" s="17"/>
      <c r="AE16" s="42" t="str">
        <f aca="false">IF(SUM(AF16:AK16)&gt;0, 1, "")</f>
        <v/>
      </c>
      <c r="AF16" s="17"/>
      <c r="AJ16" s="17"/>
      <c r="AK16" s="17"/>
      <c r="AL16" s="42" t="str">
        <f aca="false">IF(SUM(AM16:AR16)&gt;0, 1, "")</f>
        <v/>
      </c>
      <c r="AM16" s="17"/>
      <c r="AN16" s="17"/>
      <c r="AO16" s="17"/>
      <c r="AP16" s="17"/>
      <c r="AQ16" s="17"/>
      <c r="AR16" s="17"/>
      <c r="AS16" s="42" t="str">
        <f aca="false">IF(SUM(AT16:AY16)&gt;0, 1, "")</f>
        <v/>
      </c>
      <c r="AT16" s="17"/>
      <c r="AU16" s="17"/>
      <c r="AV16" s="17"/>
      <c r="AW16" s="17"/>
      <c r="AX16" s="17"/>
      <c r="AZ16" s="42" t="str">
        <f aca="false">IF(SUM(BA16:BF16)&gt;0, 1, "")</f>
        <v/>
      </c>
      <c r="BB16" s="17"/>
      <c r="BC16" s="17"/>
      <c r="BD16" s="17"/>
      <c r="BE16" s="17"/>
      <c r="BF16" s="17"/>
      <c r="BG16" s="42" t="str">
        <f aca="false">IF(SUM(BH16:BM16)&gt;0, 1, "")</f>
        <v/>
      </c>
      <c r="BH16" s="17"/>
      <c r="BI16" s="17"/>
      <c r="BJ16" s="17"/>
      <c r="BK16" s="17"/>
      <c r="BL16" s="17"/>
      <c r="BM16" s="17"/>
    </row>
    <row r="17" customFormat="false" ht="15" hidden="false" customHeight="false" outlineLevel="0" collapsed="false">
      <c r="A17" s="17" t="s">
        <v>98</v>
      </c>
      <c r="B17" s="17" t="s">
        <v>99</v>
      </c>
      <c r="C17" s="42" t="str">
        <f aca="false">IF(SUM(D17:I17)&gt;0, 1, "")</f>
        <v/>
      </c>
      <c r="D17" s="17"/>
      <c r="E17" s="17"/>
      <c r="F17" s="17"/>
      <c r="G17" s="17"/>
      <c r="H17" s="17"/>
      <c r="I17" s="17"/>
      <c r="J17" s="42" t="str">
        <f aca="false">IF(SUM(K17:P17)&gt;0, 1, "")</f>
        <v/>
      </c>
      <c r="K17" s="17"/>
      <c r="L17" s="17"/>
      <c r="M17" s="17"/>
      <c r="N17" s="17"/>
      <c r="O17" s="17"/>
      <c r="P17" s="17"/>
      <c r="Q17" s="42" t="str">
        <f aca="false">IF(SUM(R17:W17)&gt;0, 1, "")</f>
        <v/>
      </c>
      <c r="R17" s="17"/>
      <c r="S17" s="17"/>
      <c r="T17" s="17"/>
      <c r="U17" s="17"/>
      <c r="V17" s="17"/>
      <c r="W17" s="17"/>
      <c r="X17" s="42" t="str">
        <f aca="false">IF(SUM(Y17:AD17)&gt;0, 1, "")</f>
        <v/>
      </c>
      <c r="Y17" s="17"/>
      <c r="Z17" s="17"/>
      <c r="AA17" s="17"/>
      <c r="AB17" s="17"/>
      <c r="AC17" s="17"/>
      <c r="AD17" s="17"/>
      <c r="AE17" s="42" t="str">
        <f aca="false">IF(SUM(AF17:AK17)&gt;0, 1, "")</f>
        <v/>
      </c>
      <c r="AF17" s="17"/>
      <c r="AJ17" s="17"/>
      <c r="AK17" s="17"/>
      <c r="AL17" s="42" t="str">
        <f aca="false">IF(SUM(AM17:AR17)&gt;0, 1, "")</f>
        <v/>
      </c>
      <c r="AM17" s="17"/>
      <c r="AN17" s="17"/>
      <c r="AO17" s="17"/>
      <c r="AP17" s="17"/>
      <c r="AQ17" s="17"/>
      <c r="AR17" s="17"/>
      <c r="AS17" s="42" t="str">
        <f aca="false">IF(SUM(AT17:AY17)&gt;0, 1, "")</f>
        <v/>
      </c>
      <c r="AT17" s="17"/>
      <c r="AU17" s="17"/>
      <c r="AV17" s="17"/>
      <c r="AW17" s="17"/>
      <c r="AX17" s="17"/>
      <c r="AZ17" s="42" t="str">
        <f aca="false">IF(SUM(BA17:BF17)&gt;0, 1, "")</f>
        <v/>
      </c>
      <c r="BB17" s="17"/>
      <c r="BC17" s="17"/>
      <c r="BD17" s="17"/>
      <c r="BE17" s="17"/>
      <c r="BF17" s="17"/>
      <c r="BG17" s="42" t="str">
        <f aca="false">IF(SUM(BH17:BM17)&gt;0, 1, "")</f>
        <v/>
      </c>
      <c r="BH17" s="17"/>
      <c r="BI17" s="17"/>
      <c r="BJ17" s="17"/>
      <c r="BK17" s="17"/>
      <c r="BL17" s="17"/>
      <c r="BM17" s="17"/>
    </row>
    <row r="18" customFormat="false" ht="15" hidden="false" customHeight="false" outlineLevel="0" collapsed="false">
      <c r="A18" s="17" t="s">
        <v>100</v>
      </c>
      <c r="B18" s="17" t="s">
        <v>101</v>
      </c>
      <c r="C18" s="42" t="str">
        <f aca="false">IF(SUM(D18:I18)&gt;0, 1, "")</f>
        <v/>
      </c>
      <c r="D18" s="17"/>
      <c r="E18" s="17"/>
      <c r="F18" s="17"/>
      <c r="G18" s="17"/>
      <c r="H18" s="17"/>
      <c r="I18" s="17"/>
      <c r="J18" s="42" t="str">
        <f aca="false">IF(SUM(K18:P18)&gt;0, 1, "")</f>
        <v/>
      </c>
      <c r="K18" s="17"/>
      <c r="L18" s="17"/>
      <c r="M18" s="17"/>
      <c r="N18" s="17"/>
      <c r="O18" s="17"/>
      <c r="P18" s="17"/>
      <c r="Q18" s="42" t="str">
        <f aca="false">IF(SUM(R18:W18)&gt;0, 1, "")</f>
        <v/>
      </c>
      <c r="R18" s="17"/>
      <c r="S18" s="17"/>
      <c r="T18" s="17"/>
      <c r="U18" s="17"/>
      <c r="V18" s="17"/>
      <c r="W18" s="17"/>
      <c r="X18" s="42" t="str">
        <f aca="false">IF(SUM(Y18:AD18)&gt;0, 1, "")</f>
        <v/>
      </c>
      <c r="Y18" s="17"/>
      <c r="Z18" s="17"/>
      <c r="AA18" s="17"/>
      <c r="AB18" s="17"/>
      <c r="AC18" s="17"/>
      <c r="AD18" s="17"/>
      <c r="AE18" s="42" t="str">
        <f aca="false">IF(SUM(AF18:AK18)&gt;0, 1, "")</f>
        <v/>
      </c>
      <c r="AF18" s="17"/>
      <c r="AJ18" s="17"/>
      <c r="AK18" s="17"/>
      <c r="AL18" s="42" t="str">
        <f aca="false">IF(SUM(AM18:AR18)&gt;0, 1, "")</f>
        <v/>
      </c>
      <c r="AM18" s="17"/>
      <c r="AN18" s="17"/>
      <c r="AO18" s="17"/>
      <c r="AP18" s="17"/>
      <c r="AQ18" s="17"/>
      <c r="AR18" s="17"/>
      <c r="AS18" s="42" t="str">
        <f aca="false">IF(SUM(AT18:AY18)&gt;0, 1, "")</f>
        <v/>
      </c>
      <c r="AT18" s="17"/>
      <c r="AU18" s="17"/>
      <c r="AV18" s="17"/>
      <c r="AW18" s="17"/>
      <c r="AX18" s="17"/>
      <c r="AZ18" s="42" t="str">
        <f aca="false">IF(SUM(BA18:BF18)&gt;0, 1, "")</f>
        <v/>
      </c>
      <c r="BB18" s="17"/>
      <c r="BC18" s="17"/>
      <c r="BD18" s="17"/>
      <c r="BE18" s="17"/>
      <c r="BF18" s="17"/>
      <c r="BG18" s="42" t="str">
        <f aca="false">IF(SUM(BH18:BM18)&gt;0, 1, "")</f>
        <v/>
      </c>
      <c r="BH18" s="17"/>
      <c r="BI18" s="17"/>
      <c r="BJ18" s="17"/>
      <c r="BK18" s="17"/>
      <c r="BL18" s="17"/>
      <c r="BM18" s="17"/>
    </row>
    <row r="19" customFormat="false" ht="15" hidden="false" customHeight="false" outlineLevel="0" collapsed="false">
      <c r="A19" s="17" t="s">
        <v>102</v>
      </c>
      <c r="B19" s="17" t="s">
        <v>103</v>
      </c>
      <c r="C19" s="42" t="str">
        <f aca="false">IF(SUM(D19:I19)&gt;0, 1, "")</f>
        <v/>
      </c>
      <c r="D19" s="17"/>
      <c r="E19" s="17"/>
      <c r="F19" s="17"/>
      <c r="G19" s="17"/>
      <c r="H19" s="17"/>
      <c r="I19" s="17"/>
      <c r="J19" s="42" t="str">
        <f aca="false">IF(SUM(K19:P19)&gt;0, 1, "")</f>
        <v/>
      </c>
      <c r="K19" s="17"/>
      <c r="L19" s="17"/>
      <c r="M19" s="17"/>
      <c r="N19" s="17"/>
      <c r="O19" s="17"/>
      <c r="P19" s="17"/>
      <c r="Q19" s="42" t="str">
        <f aca="false">IF(SUM(R19:W19)&gt;0, 1, "")</f>
        <v/>
      </c>
      <c r="R19" s="17"/>
      <c r="S19" s="17"/>
      <c r="T19" s="17"/>
      <c r="U19" s="17"/>
      <c r="V19" s="17"/>
      <c r="W19" s="17"/>
      <c r="X19" s="42" t="str">
        <f aca="false">IF(SUM(Y19:AD19)&gt;0, 1, "")</f>
        <v/>
      </c>
      <c r="Y19" s="17"/>
      <c r="Z19" s="17"/>
      <c r="AA19" s="17"/>
      <c r="AB19" s="17"/>
      <c r="AC19" s="17"/>
      <c r="AD19" s="17"/>
      <c r="AE19" s="42" t="str">
        <f aca="false">IF(SUM(AF19:AK19)&gt;0, 1, "")</f>
        <v/>
      </c>
      <c r="AF19" s="17"/>
      <c r="AJ19" s="17"/>
      <c r="AK19" s="17"/>
      <c r="AL19" s="42" t="str">
        <f aca="false">IF(SUM(AM19:AR19)&gt;0, 1, "")</f>
        <v/>
      </c>
      <c r="AM19" s="17"/>
      <c r="AN19" s="17"/>
      <c r="AO19" s="17"/>
      <c r="AP19" s="17"/>
      <c r="AQ19" s="17"/>
      <c r="AR19" s="17"/>
      <c r="AS19" s="42" t="str">
        <f aca="false">IF(SUM(AT19:AY19)&gt;0, 1, "")</f>
        <v/>
      </c>
      <c r="AT19" s="17"/>
      <c r="AU19" s="17"/>
      <c r="AV19" s="17"/>
      <c r="AW19" s="17"/>
      <c r="AX19" s="17"/>
      <c r="AZ19" s="42" t="str">
        <f aca="false">IF(SUM(BA19:BF19)&gt;0, 1, "")</f>
        <v/>
      </c>
      <c r="BB19" s="17"/>
      <c r="BC19" s="17"/>
      <c r="BD19" s="17"/>
      <c r="BE19" s="17"/>
      <c r="BF19" s="17"/>
      <c r="BG19" s="42" t="str">
        <f aca="false">IF(SUM(BH19:BM19)&gt;0, 1, "")</f>
        <v/>
      </c>
      <c r="BH19" s="17"/>
      <c r="BI19" s="17"/>
      <c r="BJ19" s="17"/>
      <c r="BK19" s="17"/>
      <c r="BL19" s="17"/>
      <c r="BM19" s="17"/>
    </row>
    <row r="20" customFormat="false" ht="15" hidden="false" customHeight="false" outlineLevel="0" collapsed="false">
      <c r="A20" s="17" t="s">
        <v>104</v>
      </c>
      <c r="B20" s="17" t="s">
        <v>105</v>
      </c>
      <c r="C20" s="42" t="str">
        <f aca="false">IF(SUM(D20:I20)&gt;0, 1, "")</f>
        <v/>
      </c>
      <c r="D20" s="17"/>
      <c r="E20" s="17"/>
      <c r="F20" s="17"/>
      <c r="G20" s="17"/>
      <c r="H20" s="17"/>
      <c r="I20" s="17"/>
      <c r="J20" s="42" t="str">
        <f aca="false">IF(SUM(K20:P20)&gt;0, 1, "")</f>
        <v/>
      </c>
      <c r="K20" s="17"/>
      <c r="L20" s="17"/>
      <c r="M20" s="17"/>
      <c r="N20" s="17"/>
      <c r="O20" s="17"/>
      <c r="P20" s="17"/>
      <c r="Q20" s="42" t="str">
        <f aca="false">IF(SUM(R20:W20)&gt;0, 1, "")</f>
        <v/>
      </c>
      <c r="R20" s="17"/>
      <c r="S20" s="17"/>
      <c r="T20" s="17"/>
      <c r="U20" s="17"/>
      <c r="V20" s="17"/>
      <c r="W20" s="17"/>
      <c r="X20" s="42" t="str">
        <f aca="false">IF(SUM(Y20:AD20)&gt;0, 1, "")</f>
        <v/>
      </c>
      <c r="Y20" s="17"/>
      <c r="Z20" s="17"/>
      <c r="AA20" s="17"/>
      <c r="AB20" s="17"/>
      <c r="AC20" s="17"/>
      <c r="AD20" s="17"/>
      <c r="AE20" s="42" t="str">
        <f aca="false">IF(SUM(AF20:AK20)&gt;0, 1, "")</f>
        <v/>
      </c>
      <c r="AF20" s="17"/>
      <c r="AJ20" s="17"/>
      <c r="AK20" s="17"/>
      <c r="AL20" s="42" t="str">
        <f aca="false">IF(SUM(AM20:AR20)&gt;0, 1, "")</f>
        <v/>
      </c>
      <c r="AM20" s="17"/>
      <c r="AN20" s="17"/>
      <c r="AO20" s="17"/>
      <c r="AP20" s="17"/>
      <c r="AQ20" s="17"/>
      <c r="AR20" s="17"/>
      <c r="AS20" s="42" t="str">
        <f aca="false">IF(SUM(AT20:AY20)&gt;0, 1, "")</f>
        <v/>
      </c>
      <c r="AT20" s="17"/>
      <c r="AU20" s="17"/>
      <c r="AV20" s="17"/>
      <c r="AW20" s="17"/>
      <c r="AX20" s="17"/>
      <c r="AZ20" s="42" t="str">
        <f aca="false">IF(SUM(BA20:BF20)&gt;0, 1, "")</f>
        <v/>
      </c>
      <c r="BB20" s="17"/>
      <c r="BC20" s="17"/>
      <c r="BD20" s="17"/>
      <c r="BE20" s="17"/>
      <c r="BF20" s="17"/>
      <c r="BG20" s="42" t="str">
        <f aca="false">IF(SUM(BH20:BM20)&gt;0, 1, "")</f>
        <v/>
      </c>
      <c r="BH20" s="17"/>
      <c r="BI20" s="17"/>
      <c r="BJ20" s="17"/>
      <c r="BK20" s="17"/>
      <c r="BL20" s="17"/>
      <c r="BM20" s="17"/>
    </row>
    <row r="21" customFormat="false" ht="15" hidden="false" customHeight="false" outlineLevel="0" collapsed="false">
      <c r="A21" s="17" t="s">
        <v>106</v>
      </c>
      <c r="B21" s="17" t="s">
        <v>107</v>
      </c>
      <c r="C21" s="42" t="str">
        <f aca="false">IF(SUM(D21:I21)&gt;0, 1, "")</f>
        <v/>
      </c>
      <c r="D21" s="17"/>
      <c r="E21" s="17"/>
      <c r="F21" s="17"/>
      <c r="G21" s="17"/>
      <c r="H21" s="17"/>
      <c r="I21" s="17"/>
      <c r="J21" s="42" t="str">
        <f aca="false">IF(SUM(K21:P21)&gt;0, 1, "")</f>
        <v/>
      </c>
      <c r="K21" s="17"/>
      <c r="L21" s="17"/>
      <c r="M21" s="17"/>
      <c r="N21" s="17"/>
      <c r="O21" s="17"/>
      <c r="P21" s="17"/>
      <c r="Q21" s="42" t="str">
        <f aca="false">IF(SUM(R21:W21)&gt;0, 1, "")</f>
        <v/>
      </c>
      <c r="R21" s="17"/>
      <c r="S21" s="17"/>
      <c r="T21" s="17"/>
      <c r="U21" s="17"/>
      <c r="V21" s="17"/>
      <c r="W21" s="17"/>
      <c r="X21" s="42" t="str">
        <f aca="false">IF(SUM(Y21:AD21)&gt;0, 1, "")</f>
        <v/>
      </c>
      <c r="Y21" s="17"/>
      <c r="Z21" s="17"/>
      <c r="AA21" s="17"/>
      <c r="AB21" s="17"/>
      <c r="AC21" s="17"/>
      <c r="AD21" s="17"/>
      <c r="AE21" s="42" t="str">
        <f aca="false">IF(SUM(AF21:AK21)&gt;0, 1, "")</f>
        <v/>
      </c>
      <c r="AF21" s="17"/>
      <c r="AJ21" s="17"/>
      <c r="AK21" s="17"/>
      <c r="AL21" s="42" t="str">
        <f aca="false">IF(SUM(AM21:AR21)&gt;0, 1, "")</f>
        <v/>
      </c>
      <c r="AM21" s="17"/>
      <c r="AN21" s="17"/>
      <c r="AO21" s="17"/>
      <c r="AP21" s="17"/>
      <c r="AQ21" s="17"/>
      <c r="AR21" s="17"/>
      <c r="AS21" s="42" t="str">
        <f aca="false">IF(SUM(AT21:AY21)&gt;0, 1, "")</f>
        <v/>
      </c>
      <c r="AT21" s="17"/>
      <c r="AU21" s="17"/>
      <c r="AV21" s="17"/>
      <c r="AW21" s="17"/>
      <c r="AX21" s="17"/>
      <c r="AZ21" s="42" t="str">
        <f aca="false">IF(SUM(BA21:BF21)&gt;0, 1, "")</f>
        <v/>
      </c>
      <c r="BB21" s="17"/>
      <c r="BC21" s="17"/>
      <c r="BD21" s="17"/>
      <c r="BE21" s="17"/>
      <c r="BF21" s="17"/>
      <c r="BG21" s="42" t="str">
        <f aca="false">IF(SUM(BH21:BM21)&gt;0, 1, "")</f>
        <v/>
      </c>
      <c r="BH21" s="17"/>
      <c r="BI21" s="17"/>
      <c r="BJ21" s="17"/>
      <c r="BK21" s="17"/>
      <c r="BL21" s="17"/>
      <c r="BM21" s="17"/>
    </row>
    <row r="22" customFormat="false" ht="15" hidden="false" customHeight="false" outlineLevel="0" collapsed="false">
      <c r="A22" s="17" t="s">
        <v>108</v>
      </c>
      <c r="B22" s="17" t="s">
        <v>109</v>
      </c>
      <c r="C22" s="42" t="str">
        <f aca="false">IF(SUM(D22:I22)&gt;0, 1, "")</f>
        <v/>
      </c>
      <c r="D22" s="17"/>
      <c r="E22" s="17"/>
      <c r="F22" s="17"/>
      <c r="G22" s="17"/>
      <c r="H22" s="17"/>
      <c r="I22" s="17"/>
      <c r="J22" s="42" t="str">
        <f aca="false">IF(SUM(K22:P22)&gt;0, 1, "")</f>
        <v/>
      </c>
      <c r="K22" s="17"/>
      <c r="L22" s="17"/>
      <c r="M22" s="17"/>
      <c r="N22" s="17"/>
      <c r="O22" s="17"/>
      <c r="P22" s="17"/>
      <c r="Q22" s="42" t="str">
        <f aca="false">IF(SUM(R22:W22)&gt;0, 1, "")</f>
        <v/>
      </c>
      <c r="R22" s="17"/>
      <c r="S22" s="17"/>
      <c r="T22" s="17"/>
      <c r="U22" s="17"/>
      <c r="V22" s="17"/>
      <c r="W22" s="17"/>
      <c r="X22" s="42" t="str">
        <f aca="false">IF(SUM(Y22:AD22)&gt;0, 1, "")</f>
        <v/>
      </c>
      <c r="Y22" s="17"/>
      <c r="Z22" s="17"/>
      <c r="AA22" s="17"/>
      <c r="AB22" s="17"/>
      <c r="AC22" s="17"/>
      <c r="AD22" s="17"/>
      <c r="AE22" s="42" t="str">
        <f aca="false">IF(SUM(AF22:AK22)&gt;0, 1, "")</f>
        <v/>
      </c>
      <c r="AF22" s="17"/>
      <c r="AJ22" s="17"/>
      <c r="AK22" s="17"/>
      <c r="AL22" s="42" t="str">
        <f aca="false">IF(SUM(AM22:AR22)&gt;0, 1, "")</f>
        <v/>
      </c>
      <c r="AM22" s="17"/>
      <c r="AN22" s="17"/>
      <c r="AO22" s="17"/>
      <c r="AP22" s="17"/>
      <c r="AQ22" s="17"/>
      <c r="AR22" s="17"/>
      <c r="AS22" s="42" t="str">
        <f aca="false">IF(SUM(AT22:AY22)&gt;0, 1, "")</f>
        <v/>
      </c>
      <c r="AT22" s="17"/>
      <c r="AU22" s="17"/>
      <c r="AV22" s="17"/>
      <c r="AW22" s="17"/>
      <c r="AX22" s="17"/>
      <c r="AZ22" s="42" t="str">
        <f aca="false">IF(SUM(BA22:BF22)&gt;0, 1, "")</f>
        <v/>
      </c>
      <c r="BB22" s="17"/>
      <c r="BC22" s="17"/>
      <c r="BD22" s="17"/>
      <c r="BE22" s="17"/>
      <c r="BF22" s="17"/>
      <c r="BG22" s="42" t="str">
        <f aca="false">IF(SUM(BH22:BM22)&gt;0, 1, "")</f>
        <v/>
      </c>
      <c r="BH22" s="17"/>
      <c r="BI22" s="17"/>
      <c r="BJ22" s="17"/>
      <c r="BK22" s="17"/>
      <c r="BL22" s="17"/>
      <c r="BM22" s="17"/>
    </row>
    <row r="23" customFormat="false" ht="15" hidden="false" customHeight="false" outlineLevel="0" collapsed="false">
      <c r="A23" s="17" t="s">
        <v>110</v>
      </c>
      <c r="B23" s="17" t="s">
        <v>111</v>
      </c>
      <c r="C23" s="42" t="str">
        <f aca="false">IF(SUM(D23:I23)&gt;0, 1, "")</f>
        <v/>
      </c>
      <c r="D23" s="17"/>
      <c r="E23" s="17"/>
      <c r="F23" s="17"/>
      <c r="G23" s="17"/>
      <c r="H23" s="17"/>
      <c r="I23" s="17"/>
      <c r="J23" s="42" t="str">
        <f aca="false">IF(SUM(K23:P23)&gt;0, 1, "")</f>
        <v/>
      </c>
      <c r="K23" s="17"/>
      <c r="L23" s="17"/>
      <c r="M23" s="17"/>
      <c r="N23" s="17"/>
      <c r="O23" s="17"/>
      <c r="P23" s="17"/>
      <c r="Q23" s="42" t="str">
        <f aca="false">IF(SUM(R23:W23)&gt;0, 1, "")</f>
        <v/>
      </c>
      <c r="R23" s="17"/>
      <c r="S23" s="17"/>
      <c r="T23" s="17"/>
      <c r="U23" s="17"/>
      <c r="V23" s="17"/>
      <c r="W23" s="17"/>
      <c r="X23" s="42" t="str">
        <f aca="false">IF(SUM(Y23:AD23)&gt;0, 1, "")</f>
        <v/>
      </c>
      <c r="Y23" s="17"/>
      <c r="Z23" s="17"/>
      <c r="AA23" s="17"/>
      <c r="AB23" s="17"/>
      <c r="AC23" s="17"/>
      <c r="AD23" s="17"/>
      <c r="AE23" s="42" t="str">
        <f aca="false">IF(SUM(AF23:AK23)&gt;0, 1, "")</f>
        <v/>
      </c>
      <c r="AF23" s="17"/>
      <c r="AJ23" s="17"/>
      <c r="AK23" s="17"/>
      <c r="AL23" s="42" t="str">
        <f aca="false">IF(SUM(AM23:AR23)&gt;0, 1, "")</f>
        <v/>
      </c>
      <c r="AM23" s="17"/>
      <c r="AN23" s="17"/>
      <c r="AO23" s="17"/>
      <c r="AP23" s="17"/>
      <c r="AQ23" s="17"/>
      <c r="AR23" s="17"/>
      <c r="AS23" s="42" t="str">
        <f aca="false">IF(SUM(AT23:AY23)&gt;0, 1, "")</f>
        <v/>
      </c>
      <c r="AT23" s="17"/>
      <c r="AU23" s="17"/>
      <c r="AV23" s="17"/>
      <c r="AW23" s="17"/>
      <c r="AX23" s="17"/>
      <c r="AZ23" s="42" t="str">
        <f aca="false">IF(SUM(BA23:BF23)&gt;0, 1, "")</f>
        <v/>
      </c>
      <c r="BB23" s="17"/>
      <c r="BC23" s="17"/>
      <c r="BD23" s="17"/>
      <c r="BE23" s="17"/>
      <c r="BF23" s="17"/>
      <c r="BG23" s="42" t="str">
        <f aca="false">IF(SUM(BH23:BM23)&gt;0, 1, "")</f>
        <v/>
      </c>
      <c r="BH23" s="17"/>
      <c r="BI23" s="17"/>
      <c r="BJ23" s="17"/>
      <c r="BK23" s="17"/>
      <c r="BL23" s="17"/>
      <c r="BM23" s="17"/>
    </row>
    <row r="24" customFormat="false" ht="15" hidden="false" customHeight="false" outlineLevel="0" collapsed="false">
      <c r="A24" s="17" t="s">
        <v>112</v>
      </c>
      <c r="B24" s="17" t="s">
        <v>113</v>
      </c>
      <c r="C24" s="42" t="str">
        <f aca="false">IF(SUM(D24:I24)&gt;0, 1, "")</f>
        <v/>
      </c>
      <c r="D24" s="17"/>
      <c r="E24" s="17"/>
      <c r="F24" s="17"/>
      <c r="G24" s="17"/>
      <c r="H24" s="17"/>
      <c r="I24" s="17"/>
      <c r="J24" s="42" t="str">
        <f aca="false">IF(SUM(K24:P24)&gt;0, 1, "")</f>
        <v/>
      </c>
      <c r="K24" s="17"/>
      <c r="L24" s="17"/>
      <c r="M24" s="17"/>
      <c r="N24" s="17"/>
      <c r="O24" s="17"/>
      <c r="P24" s="17"/>
      <c r="Q24" s="42" t="str">
        <f aca="false">IF(SUM(R24:W24)&gt;0, 1, "")</f>
        <v/>
      </c>
      <c r="R24" s="17"/>
      <c r="S24" s="17"/>
      <c r="T24" s="17"/>
      <c r="U24" s="17"/>
      <c r="V24" s="17"/>
      <c r="W24" s="17"/>
      <c r="X24" s="42" t="str">
        <f aca="false">IF(SUM(Y24:AD24)&gt;0, 1, "")</f>
        <v/>
      </c>
      <c r="Y24" s="17"/>
      <c r="Z24" s="17"/>
      <c r="AA24" s="17"/>
      <c r="AB24" s="17"/>
      <c r="AC24" s="17"/>
      <c r="AD24" s="17"/>
      <c r="AE24" s="42" t="str">
        <f aca="false">IF(SUM(AF24:AK24)&gt;0, 1, "")</f>
        <v/>
      </c>
      <c r="AF24" s="17"/>
      <c r="AJ24" s="17"/>
      <c r="AK24" s="17"/>
      <c r="AL24" s="42" t="str">
        <f aca="false">IF(SUM(AM24:AR24)&gt;0, 1, "")</f>
        <v/>
      </c>
      <c r="AM24" s="17"/>
      <c r="AN24" s="17"/>
      <c r="AO24" s="17"/>
      <c r="AP24" s="17"/>
      <c r="AQ24" s="17"/>
      <c r="AR24" s="17"/>
      <c r="AS24" s="42" t="str">
        <f aca="false">IF(SUM(AT24:AY24)&gt;0, 1, "")</f>
        <v/>
      </c>
      <c r="AT24" s="17"/>
      <c r="AU24" s="17"/>
      <c r="AV24" s="17"/>
      <c r="AW24" s="17"/>
      <c r="AX24" s="17"/>
      <c r="AZ24" s="42" t="str">
        <f aca="false">IF(SUM(BA24:BF24)&gt;0, 1, "")</f>
        <v/>
      </c>
      <c r="BB24" s="17"/>
      <c r="BC24" s="17"/>
      <c r="BD24" s="17"/>
      <c r="BE24" s="17"/>
      <c r="BF24" s="17"/>
      <c r="BG24" s="42" t="str">
        <f aca="false">IF(SUM(BH24:BM24)&gt;0, 1, "")</f>
        <v/>
      </c>
      <c r="BH24" s="17"/>
      <c r="BI24" s="17"/>
      <c r="BJ24" s="17"/>
      <c r="BK24" s="17"/>
      <c r="BL24" s="17"/>
      <c r="BM24" s="17"/>
    </row>
    <row r="25" customFormat="false" ht="15" hidden="false" customHeight="false" outlineLevel="0" collapsed="false">
      <c r="A25" s="17" t="s">
        <v>114</v>
      </c>
      <c r="B25" s="17" t="s">
        <v>115</v>
      </c>
      <c r="C25" s="42" t="str">
        <f aca="false">IF(SUM(D25:I25)&gt;0, 1, "")</f>
        <v/>
      </c>
      <c r="D25" s="17"/>
      <c r="E25" s="17"/>
      <c r="F25" s="17"/>
      <c r="G25" s="17"/>
      <c r="H25" s="17"/>
      <c r="I25" s="17"/>
      <c r="J25" s="42" t="str">
        <f aca="false">IF(SUM(K25:P25)&gt;0, 1, "")</f>
        <v/>
      </c>
      <c r="K25" s="17"/>
      <c r="L25" s="17"/>
      <c r="M25" s="17"/>
      <c r="N25" s="17"/>
      <c r="O25" s="17"/>
      <c r="P25" s="17"/>
      <c r="Q25" s="42" t="str">
        <f aca="false">IF(SUM(R25:W25)&gt;0, 1, "")</f>
        <v/>
      </c>
      <c r="R25" s="17"/>
      <c r="S25" s="17"/>
      <c r="T25" s="17"/>
      <c r="U25" s="17"/>
      <c r="V25" s="17"/>
      <c r="W25" s="17"/>
      <c r="X25" s="42" t="str">
        <f aca="false">IF(SUM(Y25:AD25)&gt;0, 1, "")</f>
        <v/>
      </c>
      <c r="Y25" s="17"/>
      <c r="Z25" s="17"/>
      <c r="AA25" s="17"/>
      <c r="AB25" s="17"/>
      <c r="AC25" s="17"/>
      <c r="AD25" s="17"/>
      <c r="AE25" s="42" t="str">
        <f aca="false">IF(SUM(AF25:AK25)&gt;0, 1, "")</f>
        <v/>
      </c>
      <c r="AF25" s="17"/>
      <c r="AJ25" s="17"/>
      <c r="AK25" s="17"/>
      <c r="AL25" s="42" t="str">
        <f aca="false">IF(SUM(AM25:AR25)&gt;0, 1, "")</f>
        <v/>
      </c>
      <c r="AM25" s="17"/>
      <c r="AN25" s="17"/>
      <c r="AO25" s="17"/>
      <c r="AP25" s="17"/>
      <c r="AQ25" s="17"/>
      <c r="AR25" s="17"/>
      <c r="AS25" s="42" t="str">
        <f aca="false">IF(SUM(AT25:AY25)&gt;0, 1, "")</f>
        <v/>
      </c>
      <c r="AT25" s="17"/>
      <c r="AU25" s="17"/>
      <c r="AV25" s="17"/>
      <c r="AW25" s="17"/>
      <c r="AX25" s="17"/>
      <c r="AZ25" s="42" t="str">
        <f aca="false">IF(SUM(BA25:BF25)&gt;0, 1, "")</f>
        <v/>
      </c>
      <c r="BB25" s="17"/>
      <c r="BC25" s="17"/>
      <c r="BD25" s="17"/>
      <c r="BE25" s="17"/>
      <c r="BF25" s="17"/>
      <c r="BG25" s="42" t="str">
        <f aca="false">IF(SUM(BH25:BM25)&gt;0, 1, "")</f>
        <v/>
      </c>
      <c r="BH25" s="17"/>
      <c r="BI25" s="17"/>
      <c r="BJ25" s="17"/>
      <c r="BK25" s="17"/>
      <c r="BL25" s="17"/>
      <c r="BM25" s="17"/>
    </row>
    <row r="26" customFormat="false" ht="15" hidden="false" customHeight="false" outlineLevel="0" collapsed="false">
      <c r="A26" s="17" t="s">
        <v>116</v>
      </c>
      <c r="B26" s="17" t="s">
        <v>117</v>
      </c>
      <c r="C26" s="42" t="str">
        <f aca="false">IF(SUM(D26:I26)&gt;0, 1, "")</f>
        <v/>
      </c>
      <c r="D26" s="17"/>
      <c r="E26" s="17"/>
      <c r="F26" s="17"/>
      <c r="G26" s="17"/>
      <c r="H26" s="17"/>
      <c r="I26" s="17"/>
      <c r="J26" s="42" t="str">
        <f aca="false">IF(SUM(K26:P26)&gt;0, 1, "")</f>
        <v/>
      </c>
      <c r="K26" s="17"/>
      <c r="L26" s="17"/>
      <c r="M26" s="17"/>
      <c r="N26" s="17"/>
      <c r="O26" s="17"/>
      <c r="P26" s="17"/>
      <c r="Q26" s="42" t="str">
        <f aca="false">IF(SUM(R26:W26)&gt;0, 1, "")</f>
        <v/>
      </c>
      <c r="R26" s="17"/>
      <c r="S26" s="17"/>
      <c r="T26" s="17"/>
      <c r="U26" s="17"/>
      <c r="V26" s="17"/>
      <c r="W26" s="17"/>
      <c r="X26" s="42" t="str">
        <f aca="false">IF(SUM(Y26:AD26)&gt;0, 1, "")</f>
        <v/>
      </c>
      <c r="Y26" s="17"/>
      <c r="Z26" s="17"/>
      <c r="AA26" s="17"/>
      <c r="AB26" s="17"/>
      <c r="AC26" s="17"/>
      <c r="AD26" s="17"/>
      <c r="AE26" s="42" t="str">
        <f aca="false">IF(SUM(AF26:AK26)&gt;0, 1, "")</f>
        <v/>
      </c>
      <c r="AF26" s="17"/>
      <c r="AJ26" s="17"/>
      <c r="AK26" s="17"/>
      <c r="AL26" s="42" t="str">
        <f aca="false">IF(SUM(AM26:AR26)&gt;0, 1, "")</f>
        <v/>
      </c>
      <c r="AM26" s="17"/>
      <c r="AN26" s="17"/>
      <c r="AO26" s="17"/>
      <c r="AP26" s="17"/>
      <c r="AQ26" s="17"/>
      <c r="AR26" s="17"/>
      <c r="AS26" s="42" t="str">
        <f aca="false">IF(SUM(AT26:AY26)&gt;0, 1, "")</f>
        <v/>
      </c>
      <c r="AT26" s="17"/>
      <c r="AU26" s="17"/>
      <c r="AV26" s="17"/>
      <c r="AW26" s="17"/>
      <c r="AX26" s="17"/>
      <c r="AZ26" s="42" t="str">
        <f aca="false">IF(SUM(BA26:BF26)&gt;0, 1, "")</f>
        <v/>
      </c>
      <c r="BB26" s="17"/>
      <c r="BC26" s="17"/>
      <c r="BD26" s="17"/>
      <c r="BE26" s="17"/>
      <c r="BF26" s="17"/>
      <c r="BG26" s="42" t="str">
        <f aca="false">IF(SUM(BH26:BM26)&gt;0, 1, "")</f>
        <v/>
      </c>
      <c r="BH26" s="17"/>
      <c r="BI26" s="17"/>
      <c r="BJ26" s="17"/>
      <c r="BK26" s="17"/>
      <c r="BL26" s="17"/>
      <c r="BM26" s="17"/>
    </row>
    <row r="27" customFormat="false" ht="15" hidden="false" customHeight="false" outlineLevel="0" collapsed="false">
      <c r="A27" s="17" t="s">
        <v>118</v>
      </c>
      <c r="B27" s="17" t="s">
        <v>119</v>
      </c>
      <c r="C27" s="42" t="str">
        <f aca="false">IF(SUM(D27:I27)&gt;0, 1, "")</f>
        <v/>
      </c>
      <c r="D27" s="17"/>
      <c r="E27" s="17"/>
      <c r="F27" s="17"/>
      <c r="G27" s="17"/>
      <c r="H27" s="17"/>
      <c r="I27" s="17"/>
      <c r="J27" s="42" t="str">
        <f aca="false">IF(SUM(K27:P27)&gt;0, 1, "")</f>
        <v/>
      </c>
      <c r="K27" s="17"/>
      <c r="L27" s="17"/>
      <c r="M27" s="17"/>
      <c r="N27" s="17"/>
      <c r="O27" s="17"/>
      <c r="P27" s="17"/>
      <c r="Q27" s="42" t="str">
        <f aca="false">IF(SUM(R27:W27)&gt;0, 1, "")</f>
        <v/>
      </c>
      <c r="R27" s="17"/>
      <c r="S27" s="17"/>
      <c r="T27" s="17"/>
      <c r="U27" s="17"/>
      <c r="V27" s="17"/>
      <c r="W27" s="17"/>
      <c r="X27" s="42" t="str">
        <f aca="false">IF(SUM(Y27:AD27)&gt;0, 1, "")</f>
        <v/>
      </c>
      <c r="Y27" s="17"/>
      <c r="Z27" s="17"/>
      <c r="AA27" s="17"/>
      <c r="AB27" s="17"/>
      <c r="AC27" s="17"/>
      <c r="AD27" s="17"/>
      <c r="AE27" s="42" t="str">
        <f aca="false">IF(SUM(AF27:AK27)&gt;0, 1, "")</f>
        <v/>
      </c>
      <c r="AF27" s="17"/>
      <c r="AJ27" s="17"/>
      <c r="AK27" s="17"/>
      <c r="AL27" s="42" t="str">
        <f aca="false">IF(SUM(AM27:AR27)&gt;0, 1, "")</f>
        <v/>
      </c>
      <c r="AM27" s="17"/>
      <c r="AN27" s="17"/>
      <c r="AO27" s="17"/>
      <c r="AP27" s="17"/>
      <c r="AQ27" s="17"/>
      <c r="AR27" s="17"/>
      <c r="AS27" s="42" t="str">
        <f aca="false">IF(SUM(AT27:AY27)&gt;0, 1, "")</f>
        <v/>
      </c>
      <c r="AT27" s="17"/>
      <c r="AU27" s="17"/>
      <c r="AV27" s="17"/>
      <c r="AW27" s="17"/>
      <c r="AX27" s="17"/>
      <c r="AZ27" s="42" t="str">
        <f aca="false">IF(SUM(BA27:BF27)&gt;0, 1, "")</f>
        <v/>
      </c>
      <c r="BB27" s="17"/>
      <c r="BC27" s="17"/>
      <c r="BD27" s="17"/>
      <c r="BE27" s="17"/>
      <c r="BF27" s="17"/>
      <c r="BG27" s="42" t="str">
        <f aca="false">IF(SUM(BH27:BM27)&gt;0, 1, "")</f>
        <v/>
      </c>
      <c r="BH27" s="17"/>
      <c r="BI27" s="17"/>
      <c r="BJ27" s="17"/>
      <c r="BK27" s="17"/>
      <c r="BL27" s="17"/>
      <c r="BM27" s="17"/>
    </row>
    <row r="28" customFormat="false" ht="15" hidden="false" customHeight="false" outlineLevel="0" collapsed="false">
      <c r="A28" s="17" t="s">
        <v>120</v>
      </c>
      <c r="B28" s="17" t="s">
        <v>121</v>
      </c>
      <c r="C28" s="42" t="str">
        <f aca="false">IF(SUM(D28:I28)&gt;0, 1, "")</f>
        <v/>
      </c>
      <c r="D28" s="17"/>
      <c r="E28" s="17"/>
      <c r="F28" s="17"/>
      <c r="G28" s="17"/>
      <c r="H28" s="17"/>
      <c r="I28" s="17"/>
      <c r="J28" s="42" t="str">
        <f aca="false">IF(SUM(K28:P28)&gt;0, 1, "")</f>
        <v/>
      </c>
      <c r="K28" s="17"/>
      <c r="L28" s="17"/>
      <c r="M28" s="17"/>
      <c r="N28" s="17"/>
      <c r="O28" s="17"/>
      <c r="P28" s="17"/>
      <c r="Q28" s="42" t="str">
        <f aca="false">IF(SUM(R28:W28)&gt;0, 1, "")</f>
        <v/>
      </c>
      <c r="R28" s="17"/>
      <c r="S28" s="17"/>
      <c r="T28" s="17"/>
      <c r="U28" s="17"/>
      <c r="V28" s="17"/>
      <c r="W28" s="17"/>
      <c r="X28" s="42" t="str">
        <f aca="false">IF(SUM(Y28:AD28)&gt;0, 1, "")</f>
        <v/>
      </c>
      <c r="Y28" s="17"/>
      <c r="Z28" s="17"/>
      <c r="AA28" s="17"/>
      <c r="AB28" s="17"/>
      <c r="AC28" s="17"/>
      <c r="AD28" s="17"/>
      <c r="AE28" s="42" t="str">
        <f aca="false">IF(SUM(AF28:AK28)&gt;0, 1, "")</f>
        <v/>
      </c>
      <c r="AF28" s="17"/>
      <c r="AJ28" s="17"/>
      <c r="AK28" s="17"/>
      <c r="AL28" s="42" t="str">
        <f aca="false">IF(SUM(AM28:AR28)&gt;0, 1, "")</f>
        <v/>
      </c>
      <c r="AM28" s="17"/>
      <c r="AN28" s="17"/>
      <c r="AO28" s="17"/>
      <c r="AP28" s="17"/>
      <c r="AQ28" s="17"/>
      <c r="AR28" s="17"/>
      <c r="AS28" s="42" t="str">
        <f aca="false">IF(SUM(AT28:AY28)&gt;0, 1, "")</f>
        <v/>
      </c>
      <c r="AT28" s="17"/>
      <c r="AU28" s="17"/>
      <c r="AV28" s="17"/>
      <c r="AW28" s="17"/>
      <c r="AX28" s="17"/>
      <c r="AZ28" s="42" t="str">
        <f aca="false">IF(SUM(BA28:BF28)&gt;0, 1, "")</f>
        <v/>
      </c>
      <c r="BB28" s="17"/>
      <c r="BC28" s="17"/>
      <c r="BD28" s="17"/>
      <c r="BE28" s="17"/>
      <c r="BF28" s="17"/>
      <c r="BG28" s="42" t="str">
        <f aca="false">IF(SUM(BH28:BM28)&gt;0, 1, "")</f>
        <v/>
      </c>
      <c r="BH28" s="17"/>
      <c r="BI28" s="17"/>
      <c r="BJ28" s="17"/>
      <c r="BK28" s="17"/>
      <c r="BL28" s="17"/>
      <c r="BM28" s="17"/>
    </row>
    <row r="29" customFormat="false" ht="15" hidden="false" customHeight="false" outlineLevel="0" collapsed="false">
      <c r="A29" s="17" t="s">
        <v>122</v>
      </c>
      <c r="B29" s="17" t="s">
        <v>123</v>
      </c>
      <c r="C29" s="42" t="n">
        <f aca="false">IF(SUM(D29:I29)&gt;0, 1, "")</f>
        <v>1</v>
      </c>
      <c r="D29" s="17" t="n">
        <v>1</v>
      </c>
      <c r="E29" s="17" t="n">
        <v>1</v>
      </c>
      <c r="F29" s="17" t="n">
        <v>1</v>
      </c>
      <c r="G29" s="17" t="n">
        <v>1</v>
      </c>
      <c r="H29" s="17" t="n">
        <v>1</v>
      </c>
      <c r="I29" s="17"/>
      <c r="J29" s="42" t="n">
        <f aca="false">IF(SUM(K29:P29)&gt;0, 1, "")</f>
        <v>1</v>
      </c>
      <c r="K29" s="17" t="n">
        <v>1</v>
      </c>
      <c r="L29" s="17" t="n">
        <v>1</v>
      </c>
      <c r="M29" s="17" t="n">
        <v>1</v>
      </c>
      <c r="N29" s="17" t="n">
        <v>1</v>
      </c>
      <c r="O29" s="17" t="n">
        <v>1</v>
      </c>
      <c r="P29" s="17"/>
      <c r="Q29" s="42" t="n">
        <f aca="false">IF(SUM(R29:W29)&gt;0, 1, "")</f>
        <v>1</v>
      </c>
      <c r="R29" s="17" t="n">
        <v>1</v>
      </c>
      <c r="S29" s="17" t="n">
        <v>1</v>
      </c>
      <c r="T29" s="17" t="n">
        <v>1</v>
      </c>
      <c r="U29" s="17" t="n">
        <v>1</v>
      </c>
      <c r="V29" s="17" t="n">
        <v>1</v>
      </c>
      <c r="W29" s="17"/>
      <c r="X29" s="42" t="n">
        <v>1</v>
      </c>
      <c r="Y29" s="17" t="n">
        <v>1</v>
      </c>
      <c r="Z29" s="17" t="n">
        <v>1</v>
      </c>
      <c r="AA29" s="17" t="n">
        <v>1</v>
      </c>
      <c r="AB29" s="17" t="n">
        <v>1</v>
      </c>
      <c r="AC29" s="17" t="n">
        <v>1</v>
      </c>
      <c r="AD29" s="17"/>
      <c r="AE29" s="42" t="n">
        <f aca="false">IF(SUM(AF29:AK29)&gt;0, 1, "")</f>
        <v>1</v>
      </c>
      <c r="AF29" s="17" t="n">
        <v>1</v>
      </c>
      <c r="AG29" s="17" t="n">
        <v>1</v>
      </c>
      <c r="AH29" s="17" t="n">
        <v>1</v>
      </c>
      <c r="AI29" s="17" t="n">
        <v>1</v>
      </c>
      <c r="AJ29" s="17" t="n">
        <v>1</v>
      </c>
      <c r="AK29" s="17"/>
      <c r="AL29" s="42" t="n">
        <f aca="false">IF(SUM(AM29:AR29)&gt;0, 1, "")</f>
        <v>1</v>
      </c>
      <c r="AM29" s="17" t="n">
        <v>1</v>
      </c>
      <c r="AN29" s="17" t="n">
        <v>1</v>
      </c>
      <c r="AO29" s="17" t="n">
        <v>1</v>
      </c>
      <c r="AP29" s="17" t="n">
        <v>1</v>
      </c>
      <c r="AQ29" s="17" t="n">
        <v>1</v>
      </c>
      <c r="AR29" s="17"/>
      <c r="AS29" s="42" t="n">
        <f aca="false">IF(SUM(AT29:AY29)&gt;0, 1, "")</f>
        <v>1</v>
      </c>
      <c r="AT29" s="17" t="n">
        <v>1</v>
      </c>
      <c r="AU29" s="17" t="n">
        <v>1</v>
      </c>
      <c r="AV29" s="17" t="n">
        <v>1</v>
      </c>
      <c r="AW29" s="17" t="n">
        <v>1</v>
      </c>
      <c r="AX29" s="17" t="n">
        <v>1</v>
      </c>
      <c r="AY29" s="17"/>
      <c r="AZ29" s="42" t="n">
        <f aca="false">IF(SUM(BA29:BF29)&gt;0, 1, "")</f>
        <v>1</v>
      </c>
      <c r="BA29" s="17" t="n">
        <v>1</v>
      </c>
      <c r="BB29" s="17" t="n">
        <v>1</v>
      </c>
      <c r="BC29" s="17" t="n">
        <v>1</v>
      </c>
      <c r="BD29" s="17" t="n">
        <v>1</v>
      </c>
      <c r="BE29" s="17" t="n">
        <v>1</v>
      </c>
      <c r="BF29" s="17"/>
      <c r="BG29" s="42" t="n">
        <f aca="false">IF(SUM(BH29:BM29)&gt;0, 1, "")</f>
        <v>1</v>
      </c>
      <c r="BH29" s="17" t="n">
        <v>1</v>
      </c>
      <c r="BI29" s="17" t="n">
        <v>1</v>
      </c>
      <c r="BJ29" s="17" t="n">
        <v>1</v>
      </c>
      <c r="BK29" s="17" t="n">
        <v>1</v>
      </c>
      <c r="BL29" s="17" t="n">
        <v>1</v>
      </c>
      <c r="BM29" s="17"/>
    </row>
    <row r="30" customFormat="false" ht="15" hidden="false" customHeight="false" outlineLevel="0" collapsed="false">
      <c r="A30" s="17" t="s">
        <v>124</v>
      </c>
      <c r="B30" s="17" t="s">
        <v>125</v>
      </c>
      <c r="C30" s="42" t="str">
        <f aca="false">IF(SUM(D30:I30)&gt;0, 1, "")</f>
        <v/>
      </c>
      <c r="D30" s="17"/>
      <c r="E30" s="17"/>
      <c r="F30" s="17"/>
      <c r="G30" s="17"/>
      <c r="H30" s="17"/>
      <c r="I30" s="17"/>
      <c r="J30" s="42" t="str">
        <f aca="false">IF(SUM(K30:P30)&gt;0, 1, "")</f>
        <v/>
      </c>
      <c r="K30" s="17"/>
      <c r="L30" s="17"/>
      <c r="M30" s="17"/>
      <c r="N30" s="17"/>
      <c r="O30" s="17"/>
      <c r="P30" s="17"/>
      <c r="Q30" s="42" t="str">
        <f aca="false">IF(SUM(R30:W30)&gt;0, 1, "")</f>
        <v/>
      </c>
      <c r="R30" s="17"/>
      <c r="S30" s="17"/>
      <c r="T30" s="17"/>
      <c r="U30" s="17"/>
      <c r="V30" s="17"/>
      <c r="W30" s="17"/>
      <c r="X30" s="42" t="str">
        <f aca="false">IF(SUM(Y30:AD30)&gt;0, 1, "")</f>
        <v/>
      </c>
      <c r="Y30" s="17"/>
      <c r="Z30" s="17"/>
      <c r="AA30" s="17"/>
      <c r="AB30" s="17"/>
      <c r="AC30" s="17"/>
      <c r="AD30" s="17"/>
      <c r="AE30" s="42" t="str">
        <f aca="false">IF(SUM(AF30:AK30)&gt;0, 1, "")</f>
        <v/>
      </c>
      <c r="AF30" s="17"/>
      <c r="AJ30" s="17"/>
      <c r="AK30" s="17"/>
      <c r="AL30" s="42" t="str">
        <f aca="false">IF(SUM(AM30:AR30)&gt;0, 1, "")</f>
        <v/>
      </c>
      <c r="AM30" s="17"/>
      <c r="AN30" s="17"/>
      <c r="AO30" s="17"/>
      <c r="AP30" s="17"/>
      <c r="AQ30" s="17"/>
      <c r="AR30" s="17"/>
      <c r="AS30" s="42" t="str">
        <f aca="false">IF(SUM(AT30:AY30)&gt;0, 1, "")</f>
        <v/>
      </c>
      <c r="AT30" s="17"/>
      <c r="AU30" s="17"/>
      <c r="AV30" s="17"/>
      <c r="AW30" s="17"/>
      <c r="AX30" s="17"/>
      <c r="AZ30" s="42" t="str">
        <f aca="false">IF(SUM(BA30:BF30)&gt;0, 1, "")</f>
        <v/>
      </c>
      <c r="BB30" s="17"/>
      <c r="BC30" s="17"/>
      <c r="BD30" s="17"/>
      <c r="BE30" s="17"/>
      <c r="BF30" s="17"/>
      <c r="BG30" s="42" t="str">
        <f aca="false">IF(SUM(BH30:BM30)&gt;0, 1, "")</f>
        <v/>
      </c>
      <c r="BH30" s="17"/>
      <c r="BI30" s="17"/>
      <c r="BJ30" s="17"/>
      <c r="BK30" s="17"/>
      <c r="BL30" s="17"/>
      <c r="BM30" s="17"/>
    </row>
    <row r="31" customFormat="false" ht="15" hidden="false" customHeight="false" outlineLevel="0" collapsed="false">
      <c r="A31" s="17" t="s">
        <v>126</v>
      </c>
      <c r="B31" s="17" t="s">
        <v>127</v>
      </c>
      <c r="C31" s="42" t="str">
        <f aca="false">IF(SUM(D31:I31)&gt;0, 1, "")</f>
        <v/>
      </c>
      <c r="D31" s="17"/>
      <c r="E31" s="17"/>
      <c r="F31" s="17"/>
      <c r="G31" s="17"/>
      <c r="H31" s="17"/>
      <c r="I31" s="17"/>
      <c r="J31" s="42" t="str">
        <f aca="false">IF(SUM(K31:P31)&gt;0, 1, "")</f>
        <v/>
      </c>
      <c r="K31" s="17"/>
      <c r="L31" s="17"/>
      <c r="M31" s="17"/>
      <c r="N31" s="17"/>
      <c r="O31" s="17"/>
      <c r="P31" s="17"/>
      <c r="Q31" s="42" t="str">
        <f aca="false">IF(SUM(R31:W31)&gt;0, 1, "")</f>
        <v/>
      </c>
      <c r="R31" s="17"/>
      <c r="S31" s="17"/>
      <c r="T31" s="17"/>
      <c r="U31" s="17"/>
      <c r="V31" s="17"/>
      <c r="W31" s="17"/>
      <c r="X31" s="42" t="str">
        <f aca="false">IF(SUM(Y31:AD31)&gt;0, 1, "")</f>
        <v/>
      </c>
      <c r="Y31" s="17"/>
      <c r="Z31" s="17"/>
      <c r="AA31" s="17"/>
      <c r="AB31" s="17"/>
      <c r="AC31" s="17"/>
      <c r="AD31" s="17"/>
      <c r="AE31" s="42" t="str">
        <f aca="false">IF(SUM(AF31:AK31)&gt;0, 1, "")</f>
        <v/>
      </c>
      <c r="AF31" s="17"/>
      <c r="AG31" s="17"/>
      <c r="AH31" s="17"/>
      <c r="AI31" s="17"/>
      <c r="AJ31" s="17"/>
      <c r="AK31" s="17"/>
      <c r="AL31" s="42" t="str">
        <f aca="false">IF(SUM(AM31:AR31)&gt;0, 1, "")</f>
        <v/>
      </c>
      <c r="AM31" s="17"/>
      <c r="AN31" s="17"/>
      <c r="AO31" s="17"/>
      <c r="AP31" s="17"/>
      <c r="AQ31" s="17"/>
      <c r="AR31" s="17"/>
      <c r="AS31" s="42" t="str">
        <f aca="false">IF(SUM(AT31:AY31)&gt;0, 1, "")</f>
        <v/>
      </c>
      <c r="AT31" s="17"/>
      <c r="AU31" s="17"/>
      <c r="AV31" s="17"/>
      <c r="AW31" s="17"/>
      <c r="AX31" s="17"/>
      <c r="AZ31" s="42" t="str">
        <f aca="false">IF(SUM(BA31:BF31)&gt;0, 1, "")</f>
        <v/>
      </c>
      <c r="BB31" s="17"/>
      <c r="BC31" s="17"/>
      <c r="BD31" s="17"/>
      <c r="BE31" s="17"/>
      <c r="BF31" s="17"/>
      <c r="BG31" s="42" t="str">
        <f aca="false">IF(SUM(BH31:BM31)&gt;0, 1, "")</f>
        <v/>
      </c>
      <c r="BH31" s="17"/>
      <c r="BI31" s="17"/>
      <c r="BJ31" s="17"/>
      <c r="BK31" s="17"/>
      <c r="BL31" s="17"/>
      <c r="BM31" s="17"/>
    </row>
    <row r="32" customFormat="false" ht="15" hidden="false" customHeight="false" outlineLevel="0" collapsed="false">
      <c r="A32" s="17" t="s">
        <v>128</v>
      </c>
      <c r="B32" s="17" t="s">
        <v>129</v>
      </c>
      <c r="C32" s="42" t="str">
        <f aca="false">IF(SUM(D32:I32)&gt;0, 1, "")</f>
        <v/>
      </c>
      <c r="D32" s="17"/>
      <c r="E32" s="17"/>
      <c r="F32" s="17"/>
      <c r="G32" s="17"/>
      <c r="H32" s="17"/>
      <c r="I32" s="17"/>
      <c r="J32" s="42" t="str">
        <f aca="false">IF(SUM(K32:P32)&gt;0, 1, "")</f>
        <v/>
      </c>
      <c r="K32" s="17"/>
      <c r="L32" s="17"/>
      <c r="M32" s="17"/>
      <c r="N32" s="17"/>
      <c r="O32" s="17"/>
      <c r="P32" s="17"/>
      <c r="Q32" s="42" t="str">
        <f aca="false">IF(SUM(R32:W32)&gt;0, 1, "")</f>
        <v/>
      </c>
      <c r="R32" s="17"/>
      <c r="S32" s="17"/>
      <c r="T32" s="17"/>
      <c r="U32" s="17"/>
      <c r="V32" s="17"/>
      <c r="W32" s="17"/>
      <c r="X32" s="42" t="str">
        <f aca="false">IF(SUM(Y32:AD32)&gt;0, 1, "")</f>
        <v/>
      </c>
      <c r="Y32" s="17"/>
      <c r="Z32" s="17"/>
      <c r="AA32" s="17"/>
      <c r="AB32" s="17"/>
      <c r="AC32" s="17"/>
      <c r="AD32" s="17"/>
      <c r="AE32" s="42" t="str">
        <f aca="false">IF(SUM(AF32:AK32)&gt;0, 1, "")</f>
        <v/>
      </c>
      <c r="AF32" s="17"/>
      <c r="AG32" s="17"/>
      <c r="AH32" s="17"/>
      <c r="AI32" s="17"/>
      <c r="AJ32" s="17"/>
      <c r="AK32" s="17"/>
      <c r="AL32" s="42" t="str">
        <f aca="false">IF(SUM(AM32:AR32)&gt;0, 1, "")</f>
        <v/>
      </c>
      <c r="AM32" s="17"/>
      <c r="AN32" s="17"/>
      <c r="AO32" s="17"/>
      <c r="AP32" s="17"/>
      <c r="AQ32" s="17"/>
      <c r="AR32" s="17"/>
      <c r="AS32" s="42" t="str">
        <f aca="false">IF(SUM(AT32:AY32)&gt;0, 1, "")</f>
        <v/>
      </c>
      <c r="AT32" s="17"/>
      <c r="AU32" s="17"/>
      <c r="AV32" s="17"/>
      <c r="AW32" s="17"/>
      <c r="AX32" s="17"/>
      <c r="AY32" s="17"/>
      <c r="AZ32" s="42" t="str">
        <f aca="false">IF(SUM(BA32:BF32)&gt;0, 1, "")</f>
        <v/>
      </c>
      <c r="BA32" s="17"/>
      <c r="BB32" s="17"/>
      <c r="BC32" s="17"/>
      <c r="BD32" s="17"/>
      <c r="BE32" s="17"/>
      <c r="BF32" s="17"/>
      <c r="BG32" s="42" t="str">
        <f aca="false">IF(SUM(BH32:BM32)&gt;0, 1, "")</f>
        <v/>
      </c>
      <c r="BH32" s="17"/>
      <c r="BI32" s="17"/>
      <c r="BJ32" s="17"/>
      <c r="BK32" s="17"/>
      <c r="BL32" s="17"/>
      <c r="BM32" s="17"/>
    </row>
    <row r="33" customFormat="false" ht="15" hidden="false" customHeight="false" outlineLevel="0" collapsed="false">
      <c r="A33" s="17" t="s">
        <v>130</v>
      </c>
      <c r="B33" s="17" t="s">
        <v>131</v>
      </c>
      <c r="C33" s="42" t="str">
        <f aca="false">IF(SUM(D33:I33)&gt;0, 1, "")</f>
        <v/>
      </c>
      <c r="D33" s="17"/>
      <c r="E33" s="17"/>
      <c r="F33" s="17"/>
      <c r="G33" s="17"/>
      <c r="H33" s="17"/>
      <c r="I33" s="17"/>
      <c r="J33" s="42" t="str">
        <f aca="false">IF(SUM(K33:P33)&gt;0, 1, "")</f>
        <v/>
      </c>
      <c r="K33" s="17"/>
      <c r="L33" s="17"/>
      <c r="M33" s="17"/>
      <c r="N33" s="17"/>
      <c r="O33" s="17"/>
      <c r="P33" s="17"/>
      <c r="Q33" s="42" t="str">
        <f aca="false">IF(SUM(R33:W33)&gt;0, 1, "")</f>
        <v/>
      </c>
      <c r="R33" s="17"/>
      <c r="S33" s="17"/>
      <c r="T33" s="17"/>
      <c r="U33" s="17"/>
      <c r="V33" s="17"/>
      <c r="W33" s="17"/>
      <c r="X33" s="42" t="str">
        <f aca="false">IF(SUM(Y33:AD33)&gt;0, 1, "")</f>
        <v/>
      </c>
      <c r="Y33" s="17"/>
      <c r="Z33" s="17"/>
      <c r="AA33" s="17"/>
      <c r="AB33" s="17"/>
      <c r="AC33" s="17"/>
      <c r="AD33" s="17"/>
      <c r="AE33" s="42" t="str">
        <f aca="false">IF(SUM(AF33:AK33)&gt;0, 1, "")</f>
        <v/>
      </c>
      <c r="AF33" s="17"/>
      <c r="AG33" s="17"/>
      <c r="AH33" s="17"/>
      <c r="AI33" s="17"/>
      <c r="AJ33" s="17"/>
      <c r="AK33" s="17"/>
      <c r="AL33" s="42" t="str">
        <f aca="false">IF(SUM(AM33:AR33)&gt;0, 1, "")</f>
        <v/>
      </c>
      <c r="AM33" s="17"/>
      <c r="AN33" s="17"/>
      <c r="AO33" s="17"/>
      <c r="AP33" s="17"/>
      <c r="AQ33" s="17"/>
      <c r="AR33" s="17"/>
      <c r="AS33" s="42" t="str">
        <f aca="false">IF(SUM(AT33:AY33)&gt;0, 1, "")</f>
        <v/>
      </c>
      <c r="AT33" s="17"/>
      <c r="AU33" s="17"/>
      <c r="AV33" s="17"/>
      <c r="AW33" s="17"/>
      <c r="AX33" s="17"/>
      <c r="AY33" s="17"/>
      <c r="AZ33" s="42" t="str">
        <f aca="false">IF(SUM(BA33:BF33)&gt;0, 1, "")</f>
        <v/>
      </c>
      <c r="BA33" s="17"/>
      <c r="BB33" s="17"/>
      <c r="BC33" s="17"/>
      <c r="BD33" s="17"/>
      <c r="BE33" s="17"/>
      <c r="BF33" s="17"/>
      <c r="BG33" s="42" t="str">
        <f aca="false">IF(SUM(BH33:BM33)&gt;0, 1, "")</f>
        <v/>
      </c>
      <c r="BH33" s="17"/>
      <c r="BI33" s="17"/>
      <c r="BJ33" s="17"/>
      <c r="BK33" s="17"/>
      <c r="BL33" s="17"/>
      <c r="BM33" s="17"/>
    </row>
    <row r="34" customFormat="false" ht="15" hidden="false" customHeight="false" outlineLevel="0" collapsed="false">
      <c r="A34" s="17" t="s">
        <v>132</v>
      </c>
      <c r="B34" s="17" t="s">
        <v>133</v>
      </c>
      <c r="C34" s="42" t="str">
        <f aca="false">IF(SUM(D34:I34)&gt;0, 1, "")</f>
        <v/>
      </c>
      <c r="D34" s="17"/>
      <c r="E34" s="17"/>
      <c r="F34" s="17"/>
      <c r="G34" s="17"/>
      <c r="H34" s="17"/>
      <c r="I34" s="17"/>
      <c r="J34" s="42" t="str">
        <f aca="false">IF(SUM(K34:P34)&gt;0, 1, "")</f>
        <v/>
      </c>
      <c r="K34" s="17"/>
      <c r="L34" s="17"/>
      <c r="M34" s="17"/>
      <c r="N34" s="17"/>
      <c r="O34" s="17"/>
      <c r="P34" s="17"/>
      <c r="Q34" s="42" t="str">
        <f aca="false">IF(SUM(R34:W34)&gt;0, 1, "")</f>
        <v/>
      </c>
      <c r="R34" s="17"/>
      <c r="S34" s="17"/>
      <c r="T34" s="17"/>
      <c r="U34" s="17"/>
      <c r="V34" s="17"/>
      <c r="W34" s="17"/>
      <c r="X34" s="42" t="str">
        <f aca="false">IF(SUM(Y34:AD34)&gt;0, 1, "")</f>
        <v/>
      </c>
      <c r="Y34" s="17"/>
      <c r="Z34" s="17"/>
      <c r="AA34" s="17"/>
      <c r="AB34" s="17"/>
      <c r="AC34" s="17"/>
      <c r="AD34" s="17"/>
      <c r="AE34" s="42" t="str">
        <f aca="false">IF(SUM(AF34:AK34)&gt;0, 1, "")</f>
        <v/>
      </c>
      <c r="AF34" s="17"/>
      <c r="AG34" s="17"/>
      <c r="AH34" s="17"/>
      <c r="AI34" s="17"/>
      <c r="AJ34" s="17"/>
      <c r="AK34" s="17"/>
      <c r="AL34" s="42" t="str">
        <f aca="false">IF(SUM(AM34:AR34)&gt;0, 1, "")</f>
        <v/>
      </c>
      <c r="AM34" s="17"/>
      <c r="AN34" s="17"/>
      <c r="AO34" s="17"/>
      <c r="AP34" s="17"/>
      <c r="AQ34" s="17"/>
      <c r="AR34" s="17"/>
      <c r="AS34" s="42" t="str">
        <f aca="false">IF(SUM(AT34:AY34)&gt;0, 1, "")</f>
        <v/>
      </c>
      <c r="AT34" s="17"/>
      <c r="AU34" s="17"/>
      <c r="AV34" s="17"/>
      <c r="AW34" s="17"/>
      <c r="AX34" s="17"/>
      <c r="AY34" s="17"/>
      <c r="AZ34" s="42" t="str">
        <f aca="false">IF(SUM(BA34:BF34)&gt;0, 1, "")</f>
        <v/>
      </c>
      <c r="BA34" s="17"/>
      <c r="BB34" s="17"/>
      <c r="BC34" s="17"/>
      <c r="BD34" s="17"/>
      <c r="BE34" s="17"/>
      <c r="BF34" s="17"/>
      <c r="BG34" s="42" t="str">
        <f aca="false">IF(SUM(BH34:BM34)&gt;0, 1, "")</f>
        <v/>
      </c>
      <c r="BH34" s="17"/>
      <c r="BI34" s="17"/>
      <c r="BJ34" s="17"/>
      <c r="BK34" s="17"/>
      <c r="BL34" s="17"/>
      <c r="BM34" s="17"/>
    </row>
    <row r="35" customFormat="false" ht="15" hidden="false" customHeight="false" outlineLevel="0" collapsed="false">
      <c r="A35" s="17" t="s">
        <v>134</v>
      </c>
      <c r="B35" s="17" t="s">
        <v>135</v>
      </c>
      <c r="C35" s="42" t="str">
        <f aca="false">IF(SUM(D35:I35)&gt;0, 1, "")</f>
        <v/>
      </c>
      <c r="D35" s="17"/>
      <c r="E35" s="17"/>
      <c r="F35" s="17"/>
      <c r="G35" s="17"/>
      <c r="H35" s="17"/>
      <c r="I35" s="17"/>
      <c r="J35" s="42" t="str">
        <f aca="false">IF(SUM(K35:P35)&gt;0, 1, "")</f>
        <v/>
      </c>
      <c r="K35" s="17"/>
      <c r="L35" s="17"/>
      <c r="M35" s="17"/>
      <c r="N35" s="17"/>
      <c r="O35" s="17"/>
      <c r="P35" s="17"/>
      <c r="Q35" s="42" t="str">
        <f aca="false">IF(SUM(R35:W35)&gt;0, 1, "")</f>
        <v/>
      </c>
      <c r="R35" s="17"/>
      <c r="S35" s="17"/>
      <c r="T35" s="17"/>
      <c r="U35" s="17"/>
      <c r="V35" s="17"/>
      <c r="W35" s="17"/>
      <c r="X35" s="42" t="str">
        <f aca="false">IF(SUM(Y35:AD35)&gt;0, 1, "")</f>
        <v/>
      </c>
      <c r="Y35" s="17"/>
      <c r="Z35" s="17"/>
      <c r="AA35" s="17"/>
      <c r="AB35" s="17"/>
      <c r="AC35" s="17"/>
      <c r="AD35" s="17"/>
      <c r="AE35" s="42" t="str">
        <f aca="false">IF(SUM(AF35:AK35)&gt;0, 1, "")</f>
        <v/>
      </c>
      <c r="AF35" s="17"/>
      <c r="AG35" s="17"/>
      <c r="AH35" s="17"/>
      <c r="AI35" s="17"/>
      <c r="AJ35" s="17"/>
      <c r="AK35" s="17"/>
      <c r="AL35" s="42" t="str">
        <f aca="false">IF(SUM(AM35:AR35)&gt;0, 1, "")</f>
        <v/>
      </c>
      <c r="AM35" s="17"/>
      <c r="AN35" s="17"/>
      <c r="AO35" s="17"/>
      <c r="AP35" s="17"/>
      <c r="AQ35" s="17"/>
      <c r="AR35" s="17"/>
      <c r="AS35" s="42" t="str">
        <f aca="false">IF(SUM(AT35:AY35)&gt;0, 1, "")</f>
        <v/>
      </c>
      <c r="AT35" s="17"/>
      <c r="AU35" s="17"/>
      <c r="AV35" s="17"/>
      <c r="AW35" s="17"/>
      <c r="AX35" s="17"/>
      <c r="AY35" s="17"/>
      <c r="AZ35" s="42" t="str">
        <f aca="false">IF(SUM(BA35:BF35)&gt;0, 1, "")</f>
        <v/>
      </c>
      <c r="BA35" s="17"/>
      <c r="BB35" s="17"/>
      <c r="BC35" s="17"/>
      <c r="BD35" s="17"/>
      <c r="BE35" s="17"/>
      <c r="BF35" s="17"/>
      <c r="BG35" s="42" t="str">
        <f aca="false">IF(SUM(BH35:BM35)&gt;0, 1, "")</f>
        <v/>
      </c>
      <c r="BH35" s="17"/>
      <c r="BI35" s="17"/>
      <c r="BJ35" s="17"/>
      <c r="BK35" s="17"/>
      <c r="BL35" s="17"/>
      <c r="BM35" s="17"/>
    </row>
    <row r="36" customFormat="false" ht="15" hidden="false" customHeight="false" outlineLevel="0" collapsed="false">
      <c r="A36" s="17" t="s">
        <v>136</v>
      </c>
      <c r="B36" s="17" t="s">
        <v>137</v>
      </c>
      <c r="C36" s="42" t="str">
        <f aca="false">IF(SUM(D36:I36)&gt;0, 1, "")</f>
        <v/>
      </c>
      <c r="D36" s="17"/>
      <c r="E36" s="17"/>
      <c r="F36" s="17"/>
      <c r="G36" s="17"/>
      <c r="H36" s="17"/>
      <c r="I36" s="17"/>
      <c r="J36" s="42" t="str">
        <f aca="false">IF(SUM(K36:P36)&gt;0, 1, "")</f>
        <v/>
      </c>
      <c r="K36" s="17"/>
      <c r="L36" s="17"/>
      <c r="M36" s="17"/>
      <c r="N36" s="17"/>
      <c r="O36" s="17"/>
      <c r="P36" s="17"/>
      <c r="Q36" s="42" t="str">
        <f aca="false">IF(SUM(R36:W36)&gt;0, 1, "")</f>
        <v/>
      </c>
      <c r="R36" s="17"/>
      <c r="S36" s="17"/>
      <c r="T36" s="17"/>
      <c r="U36" s="17"/>
      <c r="V36" s="17"/>
      <c r="W36" s="17"/>
      <c r="X36" s="42" t="str">
        <f aca="false">IF(SUM(Y36:AD36)&gt;0, 1, "")</f>
        <v/>
      </c>
      <c r="Y36" s="17"/>
      <c r="Z36" s="17"/>
      <c r="AA36" s="17"/>
      <c r="AB36" s="17"/>
      <c r="AC36" s="17"/>
      <c r="AD36" s="17"/>
      <c r="AE36" s="42" t="str">
        <f aca="false">IF(SUM(AF36:AK36)&gt;0, 1, "")</f>
        <v/>
      </c>
      <c r="AF36" s="17"/>
      <c r="AG36" s="17"/>
      <c r="AH36" s="17"/>
      <c r="AI36" s="17"/>
      <c r="AJ36" s="17"/>
      <c r="AK36" s="17"/>
      <c r="AL36" s="42" t="str">
        <f aca="false">IF(SUM(AM36:AR36)&gt;0, 1, "")</f>
        <v/>
      </c>
      <c r="AM36" s="17"/>
      <c r="AN36" s="17"/>
      <c r="AO36" s="17"/>
      <c r="AP36" s="17"/>
      <c r="AQ36" s="17"/>
      <c r="AR36" s="17"/>
      <c r="AS36" s="42" t="str">
        <f aca="false">IF(SUM(AT36:AY36)&gt;0, 1, "")</f>
        <v/>
      </c>
      <c r="AT36" s="17"/>
      <c r="AU36" s="17"/>
      <c r="AV36" s="17"/>
      <c r="AW36" s="17"/>
      <c r="AX36" s="17"/>
      <c r="AY36" s="17"/>
      <c r="AZ36" s="42" t="str">
        <f aca="false">IF(SUM(BA36:BF36)&gt;0, 1, "")</f>
        <v/>
      </c>
      <c r="BA36" s="17"/>
      <c r="BB36" s="17"/>
      <c r="BC36" s="17"/>
      <c r="BD36" s="17"/>
      <c r="BE36" s="17"/>
      <c r="BF36" s="17"/>
      <c r="BG36" s="42" t="str">
        <f aca="false">IF(SUM(BH36:BM36)&gt;0, 1, "")</f>
        <v/>
      </c>
      <c r="BH36" s="17"/>
      <c r="BI36" s="17"/>
      <c r="BJ36" s="17"/>
      <c r="BK36" s="17"/>
      <c r="BL36" s="17"/>
      <c r="BM36" s="17"/>
    </row>
    <row r="37" customFormat="false" ht="15" hidden="false" customHeight="false" outlineLevel="0" collapsed="false">
      <c r="A37" s="17" t="s">
        <v>138</v>
      </c>
      <c r="B37" s="17" t="s">
        <v>139</v>
      </c>
      <c r="C37" s="42" t="str">
        <f aca="false">IF(SUM(D37:I37)&gt;0, 1, "")</f>
        <v/>
      </c>
      <c r="D37" s="17"/>
      <c r="E37" s="17"/>
      <c r="F37" s="17"/>
      <c r="G37" s="17"/>
      <c r="H37" s="17"/>
      <c r="I37" s="17"/>
      <c r="J37" s="42" t="str">
        <f aca="false">IF(SUM(K37:P37)&gt;0, 1, "")</f>
        <v/>
      </c>
      <c r="K37" s="17"/>
      <c r="L37" s="17"/>
      <c r="M37" s="17"/>
      <c r="N37" s="17"/>
      <c r="O37" s="17"/>
      <c r="P37" s="17"/>
      <c r="Q37" s="42" t="str">
        <f aca="false">IF(SUM(R37:W37)&gt;0, 1, "")</f>
        <v/>
      </c>
      <c r="R37" s="17"/>
      <c r="S37" s="17"/>
      <c r="T37" s="17"/>
      <c r="U37" s="17"/>
      <c r="V37" s="17"/>
      <c r="W37" s="17"/>
      <c r="X37" s="42" t="str">
        <f aca="false">IF(SUM(Y37:AD37)&gt;0, 1, "")</f>
        <v/>
      </c>
      <c r="Y37" s="17"/>
      <c r="Z37" s="17"/>
      <c r="AA37" s="17"/>
      <c r="AB37" s="17"/>
      <c r="AC37" s="17"/>
      <c r="AD37" s="17"/>
      <c r="AE37" s="42" t="str">
        <f aca="false">IF(SUM(AF37:AK37)&gt;0, 1, "")</f>
        <v/>
      </c>
      <c r="AF37" s="17"/>
      <c r="AG37" s="17"/>
      <c r="AH37" s="17"/>
      <c r="AI37" s="17"/>
      <c r="AJ37" s="17"/>
      <c r="AK37" s="17"/>
      <c r="AL37" s="42" t="str">
        <f aca="false">IF(SUM(AM37:AR37)&gt;0, 1, "")</f>
        <v/>
      </c>
      <c r="AM37" s="17"/>
      <c r="AN37" s="17"/>
      <c r="AO37" s="17"/>
      <c r="AP37" s="17"/>
      <c r="AQ37" s="17"/>
      <c r="AR37" s="17"/>
      <c r="AS37" s="42" t="str">
        <f aca="false">IF(SUM(AT37:AY37)&gt;0, 1, "")</f>
        <v/>
      </c>
      <c r="AT37" s="17"/>
      <c r="AU37" s="17"/>
      <c r="AV37" s="17"/>
      <c r="AW37" s="17"/>
      <c r="AX37" s="17"/>
      <c r="AY37" s="17"/>
      <c r="AZ37" s="42" t="str">
        <f aca="false">IF(SUM(BA37:BF37)&gt;0, 1, "")</f>
        <v/>
      </c>
      <c r="BA37" s="17"/>
      <c r="BB37" s="17"/>
      <c r="BC37" s="17"/>
      <c r="BD37" s="17"/>
      <c r="BE37" s="17"/>
      <c r="BF37" s="17"/>
      <c r="BG37" s="42" t="str">
        <f aca="false">IF(SUM(BH37:BM37)&gt;0, 1, "")</f>
        <v/>
      </c>
      <c r="BH37" s="17"/>
      <c r="BI37" s="17"/>
      <c r="BJ37" s="17"/>
      <c r="BK37" s="17"/>
      <c r="BL37" s="17"/>
      <c r="BM37" s="17"/>
    </row>
    <row r="38" customFormat="false" ht="15" hidden="false" customHeight="false" outlineLevel="0" collapsed="false">
      <c r="A38" s="17" t="s">
        <v>140</v>
      </c>
      <c r="B38" s="17" t="s">
        <v>141</v>
      </c>
      <c r="C38" s="42" t="str">
        <f aca="false">IF(SUM(D38:I38)&gt;0, 1, "")</f>
        <v/>
      </c>
      <c r="D38" s="17"/>
      <c r="E38" s="17"/>
      <c r="F38" s="17"/>
      <c r="G38" s="17"/>
      <c r="H38" s="17"/>
      <c r="I38" s="17"/>
      <c r="J38" s="42" t="str">
        <f aca="false">IF(SUM(K38:P38)&gt;0, 1, "")</f>
        <v/>
      </c>
      <c r="K38" s="17"/>
      <c r="L38" s="17"/>
      <c r="M38" s="17"/>
      <c r="N38" s="17"/>
      <c r="O38" s="17"/>
      <c r="P38" s="17"/>
      <c r="Q38" s="42" t="str">
        <f aca="false">IF(SUM(R38:W38)&gt;0, 1, "")</f>
        <v/>
      </c>
      <c r="R38" s="17"/>
      <c r="S38" s="17"/>
      <c r="T38" s="17"/>
      <c r="U38" s="17"/>
      <c r="V38" s="17"/>
      <c r="W38" s="17"/>
      <c r="X38" s="42" t="str">
        <f aca="false">IF(SUM(Y38:AD38)&gt;0, 1, "")</f>
        <v/>
      </c>
      <c r="Y38" s="17"/>
      <c r="Z38" s="17"/>
      <c r="AA38" s="17"/>
      <c r="AB38" s="17"/>
      <c r="AC38" s="17"/>
      <c r="AD38" s="17"/>
      <c r="AE38" s="42" t="str">
        <f aca="false">IF(SUM(AF38:AK38)&gt;0, 1, "")</f>
        <v/>
      </c>
      <c r="AF38" s="17"/>
      <c r="AG38" s="17"/>
      <c r="AH38" s="17"/>
      <c r="AI38" s="17"/>
      <c r="AJ38" s="17"/>
      <c r="AK38" s="17"/>
      <c r="AL38" s="42" t="str">
        <f aca="false">IF(SUM(AM38:AR38)&gt;0, 1, "")</f>
        <v/>
      </c>
      <c r="AM38" s="17"/>
      <c r="AN38" s="17"/>
      <c r="AO38" s="17"/>
      <c r="AP38" s="17"/>
      <c r="AQ38" s="17"/>
      <c r="AR38" s="17"/>
      <c r="AS38" s="42" t="str">
        <f aca="false">IF(SUM(AT38:AY38)&gt;0, 1, "")</f>
        <v/>
      </c>
      <c r="AT38" s="17"/>
      <c r="AU38" s="17"/>
      <c r="AV38" s="17"/>
      <c r="AW38" s="17"/>
      <c r="AX38" s="17"/>
      <c r="AY38" s="17"/>
      <c r="AZ38" s="42" t="str">
        <f aca="false">IF(SUM(BA38:BF38)&gt;0, 1, "")</f>
        <v/>
      </c>
      <c r="BA38" s="17"/>
      <c r="BB38" s="17"/>
      <c r="BC38" s="17"/>
      <c r="BD38" s="17"/>
      <c r="BE38" s="17"/>
      <c r="BF38" s="17"/>
      <c r="BG38" s="42" t="str">
        <f aca="false">IF(SUM(BH38:BM38)&gt;0, 1, "")</f>
        <v/>
      </c>
      <c r="BH38" s="17"/>
      <c r="BI38" s="17"/>
      <c r="BJ38" s="17"/>
      <c r="BK38" s="17"/>
      <c r="BL38" s="17"/>
      <c r="BM38" s="17"/>
    </row>
    <row r="39" customFormat="false" ht="15" hidden="false" customHeight="false" outlineLevel="0" collapsed="false">
      <c r="A39" s="17" t="s">
        <v>142</v>
      </c>
      <c r="B39" s="17" t="s">
        <v>143</v>
      </c>
      <c r="C39" s="42" t="str">
        <f aca="false">IF(SUM(D39:I39)&gt;0, 1, "")</f>
        <v/>
      </c>
      <c r="D39" s="17"/>
      <c r="E39" s="17"/>
      <c r="F39" s="17"/>
      <c r="G39" s="17"/>
      <c r="H39" s="17"/>
      <c r="I39" s="17"/>
      <c r="J39" s="42" t="str">
        <f aca="false">IF(SUM(K39:P39)&gt;0, 1, "")</f>
        <v/>
      </c>
      <c r="K39" s="17"/>
      <c r="L39" s="17"/>
      <c r="M39" s="17"/>
      <c r="N39" s="17"/>
      <c r="O39" s="17"/>
      <c r="P39" s="17"/>
      <c r="Q39" s="42" t="str">
        <f aca="false">IF(SUM(R39:W39)&gt;0, 1, "")</f>
        <v/>
      </c>
      <c r="R39" s="17"/>
      <c r="S39" s="17"/>
      <c r="T39" s="17"/>
      <c r="U39" s="17"/>
      <c r="V39" s="17"/>
      <c r="W39" s="17"/>
      <c r="X39" s="42" t="str">
        <f aca="false">IF(SUM(Y39:AD39)&gt;0, 1, "")</f>
        <v/>
      </c>
      <c r="Y39" s="17"/>
      <c r="Z39" s="17"/>
      <c r="AA39" s="17"/>
      <c r="AB39" s="17"/>
      <c r="AC39" s="17"/>
      <c r="AD39" s="17"/>
      <c r="AE39" s="42" t="str">
        <f aca="false">IF(SUM(AF39:AK39)&gt;0, 1, "")</f>
        <v/>
      </c>
      <c r="AF39" s="17"/>
      <c r="AG39" s="17"/>
      <c r="AH39" s="17"/>
      <c r="AI39" s="17"/>
      <c r="AJ39" s="17"/>
      <c r="AK39" s="17"/>
      <c r="AL39" s="42" t="str">
        <f aca="false">IF(SUM(AM39:AR39)&gt;0, 1, "")</f>
        <v/>
      </c>
      <c r="AM39" s="17"/>
      <c r="AN39" s="17"/>
      <c r="AO39" s="17"/>
      <c r="AP39" s="17"/>
      <c r="AQ39" s="17"/>
      <c r="AR39" s="17"/>
      <c r="AS39" s="42" t="str">
        <f aca="false">IF(SUM(AT39:AY39)&gt;0, 1, "")</f>
        <v/>
      </c>
      <c r="AT39" s="17"/>
      <c r="AU39" s="17"/>
      <c r="AV39" s="17"/>
      <c r="AW39" s="17"/>
      <c r="AX39" s="17"/>
      <c r="AY39" s="17"/>
      <c r="AZ39" s="42" t="str">
        <f aca="false">IF(SUM(BA39:BF39)&gt;0, 1, "")</f>
        <v/>
      </c>
      <c r="BA39" s="17"/>
      <c r="BB39" s="17"/>
      <c r="BC39" s="17"/>
      <c r="BD39" s="17"/>
      <c r="BE39" s="17"/>
      <c r="BF39" s="17"/>
      <c r="BG39" s="42" t="str">
        <f aca="false">IF(SUM(BH39:BM39)&gt;0, 1, "")</f>
        <v/>
      </c>
      <c r="BH39" s="17"/>
      <c r="BI39" s="17"/>
      <c r="BJ39" s="17"/>
      <c r="BK39" s="17"/>
      <c r="BL39" s="17"/>
      <c r="BM39" s="17"/>
    </row>
    <row r="40" customFormat="false" ht="15" hidden="false" customHeight="false" outlineLevel="0" collapsed="false">
      <c r="A40" s="17" t="s">
        <v>144</v>
      </c>
      <c r="B40" s="17" t="s">
        <v>145</v>
      </c>
      <c r="C40" s="42" t="str">
        <f aca="false">IF(SUM(D40:I40)&gt;0, 1, "")</f>
        <v/>
      </c>
      <c r="D40" s="17"/>
      <c r="E40" s="17"/>
      <c r="F40" s="17"/>
      <c r="G40" s="17"/>
      <c r="H40" s="17"/>
      <c r="I40" s="17"/>
      <c r="J40" s="42" t="str">
        <f aca="false">IF(SUM(K40:P40)&gt;0, 1, "")</f>
        <v/>
      </c>
      <c r="K40" s="17"/>
      <c r="L40" s="17"/>
      <c r="M40" s="17"/>
      <c r="N40" s="17"/>
      <c r="O40" s="17"/>
      <c r="P40" s="17"/>
      <c r="Q40" s="42" t="str">
        <f aca="false">IF(SUM(R40:W40)&gt;0, 1, "")</f>
        <v/>
      </c>
      <c r="R40" s="17"/>
      <c r="S40" s="17"/>
      <c r="T40" s="17"/>
      <c r="U40" s="17"/>
      <c r="V40" s="17"/>
      <c r="W40" s="17"/>
      <c r="X40" s="42" t="str">
        <f aca="false">IF(SUM(Y40:AD40)&gt;0, 1, "")</f>
        <v/>
      </c>
      <c r="Y40" s="17"/>
      <c r="Z40" s="17"/>
      <c r="AA40" s="17"/>
      <c r="AB40" s="17"/>
      <c r="AC40" s="17"/>
      <c r="AD40" s="17"/>
      <c r="AE40" s="42" t="str">
        <f aca="false">IF(SUM(AF40:AK40)&gt;0, 1, "")</f>
        <v/>
      </c>
      <c r="AF40" s="17"/>
      <c r="AG40" s="17"/>
      <c r="AH40" s="17"/>
      <c r="AI40" s="17"/>
      <c r="AJ40" s="17"/>
      <c r="AK40" s="17"/>
      <c r="AL40" s="42" t="str">
        <f aca="false">IF(SUM(AM40:AR40)&gt;0, 1, "")</f>
        <v/>
      </c>
      <c r="AM40" s="17"/>
      <c r="AN40" s="17"/>
      <c r="AO40" s="17"/>
      <c r="AP40" s="17"/>
      <c r="AQ40" s="17"/>
      <c r="AR40" s="17"/>
      <c r="AS40" s="42" t="str">
        <f aca="false">IF(SUM(AT40:AY40)&gt;0, 1, "")</f>
        <v/>
      </c>
      <c r="AT40" s="17"/>
      <c r="AU40" s="17"/>
      <c r="AV40" s="17"/>
      <c r="AW40" s="17"/>
      <c r="AX40" s="17"/>
      <c r="AY40" s="17"/>
      <c r="AZ40" s="42" t="str">
        <f aca="false">IF(SUM(BA40:BF40)&gt;0, 1, "")</f>
        <v/>
      </c>
      <c r="BA40" s="17"/>
      <c r="BB40" s="17"/>
      <c r="BC40" s="17"/>
      <c r="BD40" s="17"/>
      <c r="BE40" s="17"/>
      <c r="BF40" s="17"/>
      <c r="BG40" s="42" t="str">
        <f aca="false">IF(SUM(BH40:BM40)&gt;0, 1, "")</f>
        <v/>
      </c>
      <c r="BH40" s="17"/>
      <c r="BI40" s="17"/>
      <c r="BJ40" s="17"/>
      <c r="BK40" s="17"/>
      <c r="BL40" s="17"/>
      <c r="BM40" s="17"/>
    </row>
    <row r="41" customFormat="false" ht="15" hidden="false" customHeight="false" outlineLevel="0" collapsed="false">
      <c r="A41" s="17" t="s">
        <v>146</v>
      </c>
      <c r="B41" s="17" t="s">
        <v>147</v>
      </c>
      <c r="C41" s="42" t="str">
        <f aca="false">IF(SUM(D41:I41)&gt;0, 1, "")</f>
        <v/>
      </c>
      <c r="D41" s="17"/>
      <c r="E41" s="17"/>
      <c r="F41" s="17"/>
      <c r="G41" s="17"/>
      <c r="H41" s="17"/>
      <c r="I41" s="17"/>
      <c r="J41" s="42" t="str">
        <f aca="false">IF(SUM(K41:P41)&gt;0, 1, "")</f>
        <v/>
      </c>
      <c r="K41" s="17"/>
      <c r="L41" s="17"/>
      <c r="M41" s="17"/>
      <c r="N41" s="17"/>
      <c r="O41" s="17"/>
      <c r="P41" s="17"/>
      <c r="Q41" s="42" t="str">
        <f aca="false">IF(SUM(R41:W41)&gt;0, 1, "")</f>
        <v/>
      </c>
      <c r="R41" s="17"/>
      <c r="S41" s="17"/>
      <c r="T41" s="17"/>
      <c r="U41" s="17"/>
      <c r="V41" s="17"/>
      <c r="W41" s="17"/>
      <c r="X41" s="42" t="str">
        <f aca="false">IF(SUM(Y41:AD41)&gt;0, 1, "")</f>
        <v/>
      </c>
      <c r="Y41" s="17"/>
      <c r="Z41" s="17"/>
      <c r="AA41" s="17"/>
      <c r="AB41" s="17"/>
      <c r="AC41" s="17"/>
      <c r="AD41" s="17"/>
      <c r="AE41" s="42" t="str">
        <f aca="false">IF(SUM(AF41:AK41)&gt;0, 1, "")</f>
        <v/>
      </c>
      <c r="AF41" s="17"/>
      <c r="AG41" s="17"/>
      <c r="AH41" s="17"/>
      <c r="AI41" s="17"/>
      <c r="AJ41" s="17"/>
      <c r="AK41" s="17"/>
      <c r="AL41" s="42" t="str">
        <f aca="false">IF(SUM(AM41:AR41)&gt;0, 1, "")</f>
        <v/>
      </c>
      <c r="AM41" s="17"/>
      <c r="AN41" s="17"/>
      <c r="AO41" s="17"/>
      <c r="AP41" s="17"/>
      <c r="AQ41" s="17"/>
      <c r="AR41" s="17"/>
      <c r="AS41" s="42" t="str">
        <f aca="false">IF(SUM(AT41:AY41)&gt;0, 1, "")</f>
        <v/>
      </c>
      <c r="AT41" s="17"/>
      <c r="AU41" s="17"/>
      <c r="AV41" s="17"/>
      <c r="AW41" s="17"/>
      <c r="AX41" s="17"/>
      <c r="AY41" s="17"/>
      <c r="AZ41" s="42" t="str">
        <f aca="false">IF(SUM(BA41:BF41)&gt;0, 1, "")</f>
        <v/>
      </c>
      <c r="BA41" s="17"/>
      <c r="BB41" s="17"/>
      <c r="BC41" s="17"/>
      <c r="BD41" s="17"/>
      <c r="BE41" s="17"/>
      <c r="BF41" s="17"/>
      <c r="BG41" s="42" t="str">
        <f aca="false">IF(SUM(BH41:BM41)&gt;0, 1, "")</f>
        <v/>
      </c>
      <c r="BH41" s="17"/>
      <c r="BI41" s="17"/>
      <c r="BJ41" s="17"/>
      <c r="BK41" s="17"/>
      <c r="BL41" s="17"/>
      <c r="BM41" s="17"/>
    </row>
    <row r="42" customFormat="false" ht="15" hidden="false" customHeight="false" outlineLevel="0" collapsed="false">
      <c r="A42" s="17" t="s">
        <v>148</v>
      </c>
      <c r="B42" s="17" t="s">
        <v>149</v>
      </c>
      <c r="C42" s="42" t="str">
        <f aca="false">IF(SUM(D42:I42)&gt;0, 1, "")</f>
        <v/>
      </c>
      <c r="D42" s="17"/>
      <c r="E42" s="17"/>
      <c r="F42" s="17"/>
      <c r="G42" s="17"/>
      <c r="H42" s="17"/>
      <c r="I42" s="17"/>
      <c r="J42" s="42" t="str">
        <f aca="false">IF(SUM(K42:P42)&gt;0, 1, "")</f>
        <v/>
      </c>
      <c r="K42" s="17"/>
      <c r="L42" s="17"/>
      <c r="M42" s="17"/>
      <c r="N42" s="17"/>
      <c r="O42" s="17"/>
      <c r="P42" s="17"/>
      <c r="Q42" s="42" t="str">
        <f aca="false">IF(SUM(R42:W42)&gt;0, 1, "")</f>
        <v/>
      </c>
      <c r="R42" s="17"/>
      <c r="S42" s="17"/>
      <c r="T42" s="17"/>
      <c r="U42" s="17"/>
      <c r="V42" s="17"/>
      <c r="W42" s="17"/>
      <c r="X42" s="42" t="str">
        <f aca="false">IF(SUM(Y42:AD42)&gt;0, 1, "")</f>
        <v/>
      </c>
      <c r="Y42" s="17"/>
      <c r="Z42" s="17"/>
      <c r="AA42" s="17"/>
      <c r="AB42" s="17"/>
      <c r="AC42" s="17"/>
      <c r="AD42" s="17"/>
      <c r="AE42" s="42" t="str">
        <f aca="false">IF(SUM(AF42:AK42)&gt;0, 1, "")</f>
        <v/>
      </c>
      <c r="AF42" s="17"/>
      <c r="AG42" s="17"/>
      <c r="AH42" s="17"/>
      <c r="AI42" s="17"/>
      <c r="AJ42" s="17"/>
      <c r="AK42" s="17"/>
      <c r="AL42" s="42" t="str">
        <f aca="false">IF(SUM(AM42:AR42)&gt;0, 1, "")</f>
        <v/>
      </c>
      <c r="AM42" s="17"/>
      <c r="AN42" s="17"/>
      <c r="AO42" s="17"/>
      <c r="AP42" s="17"/>
      <c r="AQ42" s="17"/>
      <c r="AR42" s="17"/>
      <c r="AS42" s="42" t="str">
        <f aca="false">IF(SUM(AT42:AY42)&gt;0, 1, "")</f>
        <v/>
      </c>
      <c r="AT42" s="17"/>
      <c r="AU42" s="17"/>
      <c r="AV42" s="17"/>
      <c r="AW42" s="17"/>
      <c r="AX42" s="17"/>
      <c r="AY42" s="17"/>
      <c r="AZ42" s="42" t="str">
        <f aca="false">IF(SUM(BA42:BF42)&gt;0, 1, "")</f>
        <v/>
      </c>
      <c r="BA42" s="17"/>
      <c r="BB42" s="17"/>
      <c r="BC42" s="17"/>
      <c r="BD42" s="17"/>
      <c r="BE42" s="17"/>
      <c r="BF42" s="17"/>
      <c r="BG42" s="42" t="str">
        <f aca="false">IF(SUM(BH42:BM42)&gt;0, 1, "")</f>
        <v/>
      </c>
      <c r="BH42" s="17"/>
      <c r="BI42" s="17"/>
      <c r="BJ42" s="17"/>
      <c r="BK42" s="17"/>
      <c r="BL42" s="17"/>
      <c r="BM42" s="17"/>
    </row>
    <row r="43" customFormat="false" ht="15" hidden="false" customHeight="false" outlineLevel="0" collapsed="false">
      <c r="A43" s="17" t="s">
        <v>150</v>
      </c>
      <c r="B43" s="17" t="s">
        <v>151</v>
      </c>
      <c r="C43" s="42" t="str">
        <f aca="false">IF(SUM(D43:I43)&gt;0, 1, "")</f>
        <v/>
      </c>
      <c r="D43" s="17"/>
      <c r="E43" s="17"/>
      <c r="F43" s="17"/>
      <c r="G43" s="17"/>
      <c r="H43" s="17"/>
      <c r="I43" s="17"/>
      <c r="J43" s="42" t="str">
        <f aca="false">IF(SUM(K43:P43)&gt;0, 1, "")</f>
        <v/>
      </c>
      <c r="K43" s="17"/>
      <c r="L43" s="17"/>
      <c r="M43" s="17"/>
      <c r="N43" s="17"/>
      <c r="O43" s="17"/>
      <c r="P43" s="17"/>
      <c r="Q43" s="42" t="str">
        <f aca="false">IF(SUM(R43:W43)&gt;0, 1, "")</f>
        <v/>
      </c>
      <c r="R43" s="17"/>
      <c r="S43" s="17"/>
      <c r="T43" s="17"/>
      <c r="U43" s="17"/>
      <c r="V43" s="17"/>
      <c r="W43" s="17"/>
      <c r="X43" s="42" t="str">
        <f aca="false">IF(SUM(Y43:AD43)&gt;0, 1, "")</f>
        <v/>
      </c>
      <c r="Y43" s="17"/>
      <c r="Z43" s="17"/>
      <c r="AA43" s="17"/>
      <c r="AB43" s="17"/>
      <c r="AC43" s="17"/>
      <c r="AD43" s="17"/>
      <c r="AE43" s="42" t="str">
        <f aca="false">IF(SUM(AF43:AK43)&gt;0, 1, "")</f>
        <v/>
      </c>
      <c r="AF43" s="17"/>
      <c r="AG43" s="17"/>
      <c r="AH43" s="17"/>
      <c r="AI43" s="17"/>
      <c r="AJ43" s="17"/>
      <c r="AK43" s="17"/>
      <c r="AL43" s="42" t="str">
        <f aca="false">IF(SUM(AM43:AR43)&gt;0, 1, "")</f>
        <v/>
      </c>
      <c r="AM43" s="17"/>
      <c r="AN43" s="17"/>
      <c r="AO43" s="17"/>
      <c r="AP43" s="17"/>
      <c r="AQ43" s="17"/>
      <c r="AR43" s="17"/>
      <c r="AS43" s="42" t="str">
        <f aca="false">IF(SUM(AT43:AY43)&gt;0, 1, "")</f>
        <v/>
      </c>
      <c r="AT43" s="17"/>
      <c r="AU43" s="17"/>
      <c r="AV43" s="17"/>
      <c r="AW43" s="17"/>
      <c r="AX43" s="17"/>
      <c r="AY43" s="17"/>
      <c r="AZ43" s="42" t="str">
        <f aca="false">IF(SUM(BA43:BF43)&gt;0, 1, "")</f>
        <v/>
      </c>
      <c r="BA43" s="17"/>
      <c r="BB43" s="17"/>
      <c r="BC43" s="17"/>
      <c r="BD43" s="17"/>
      <c r="BE43" s="17"/>
      <c r="BF43" s="17"/>
      <c r="BG43" s="42" t="str">
        <f aca="false">IF(SUM(BH43:BM43)&gt;0, 1, "")</f>
        <v/>
      </c>
      <c r="BH43" s="17"/>
      <c r="BI43" s="17"/>
      <c r="BJ43" s="17"/>
      <c r="BK43" s="17"/>
      <c r="BL43" s="17"/>
      <c r="BM43" s="17"/>
    </row>
    <row r="44" customFormat="false" ht="15" hidden="false" customHeight="false" outlineLevel="0" collapsed="false">
      <c r="A44" s="17" t="s">
        <v>152</v>
      </c>
      <c r="B44" s="17" t="s">
        <v>153</v>
      </c>
      <c r="C44" s="42" t="str">
        <f aca="false">IF(SUM(D44:I44)&gt;0, 1, "")</f>
        <v/>
      </c>
      <c r="D44" s="17"/>
      <c r="E44" s="17"/>
      <c r="F44" s="17"/>
      <c r="G44" s="17"/>
      <c r="H44" s="17"/>
      <c r="I44" s="17"/>
      <c r="J44" s="42" t="str">
        <f aca="false">IF(SUM(K44:P44)&gt;0, 1, "")</f>
        <v/>
      </c>
      <c r="K44" s="17"/>
      <c r="L44" s="17"/>
      <c r="M44" s="17"/>
      <c r="N44" s="17"/>
      <c r="O44" s="17"/>
      <c r="P44" s="17"/>
      <c r="Q44" s="42" t="str">
        <f aca="false">IF(SUM(R44:W44)&gt;0, 1, "")</f>
        <v/>
      </c>
      <c r="R44" s="17"/>
      <c r="S44" s="17"/>
      <c r="T44" s="17"/>
      <c r="U44" s="17"/>
      <c r="V44" s="17"/>
      <c r="W44" s="17"/>
      <c r="X44" s="42" t="str">
        <f aca="false">IF(SUM(Y44:AD44)&gt;0, 1, "")</f>
        <v/>
      </c>
      <c r="Y44" s="17"/>
      <c r="Z44" s="17"/>
      <c r="AA44" s="17"/>
      <c r="AB44" s="17"/>
      <c r="AC44" s="17"/>
      <c r="AD44" s="17"/>
      <c r="AE44" s="42" t="str">
        <f aca="false">IF(SUM(AF44:AK44)&gt;0, 1, "")</f>
        <v/>
      </c>
      <c r="AF44" s="17"/>
      <c r="AG44" s="17"/>
      <c r="AH44" s="17"/>
      <c r="AI44" s="17"/>
      <c r="AJ44" s="17"/>
      <c r="AK44" s="17"/>
      <c r="AL44" s="42" t="str">
        <f aca="false">IF(SUM(AM44:AR44)&gt;0, 1, "")</f>
        <v/>
      </c>
      <c r="AM44" s="17"/>
      <c r="AN44" s="17"/>
      <c r="AO44" s="17"/>
      <c r="AP44" s="17"/>
      <c r="AQ44" s="17"/>
      <c r="AR44" s="17"/>
      <c r="AS44" s="42" t="str">
        <f aca="false">IF(SUM(AT44:AY44)&gt;0, 1, "")</f>
        <v/>
      </c>
      <c r="AT44" s="17"/>
      <c r="AU44" s="17"/>
      <c r="AV44" s="17"/>
      <c r="AW44" s="17"/>
      <c r="AX44" s="17"/>
      <c r="AY44" s="17"/>
      <c r="AZ44" s="42" t="str">
        <f aca="false">IF(SUM(BA44:BF44)&gt;0, 1, "")</f>
        <v/>
      </c>
      <c r="BA44" s="17"/>
      <c r="BB44" s="17"/>
      <c r="BC44" s="17"/>
      <c r="BD44" s="17"/>
      <c r="BE44" s="17"/>
      <c r="BF44" s="17"/>
      <c r="BG44" s="42" t="str">
        <f aca="false">IF(SUM(BH44:BM44)&gt;0, 1, "")</f>
        <v/>
      </c>
      <c r="BH44" s="17"/>
      <c r="BI44" s="17"/>
      <c r="BJ44" s="17"/>
      <c r="BK44" s="17"/>
      <c r="BL44" s="17"/>
      <c r="BM44" s="17"/>
    </row>
    <row r="45" customFormat="false" ht="15" hidden="false" customHeight="false" outlineLevel="0" collapsed="false">
      <c r="A45" s="17" t="s">
        <v>154</v>
      </c>
      <c r="B45" s="17" t="s">
        <v>155</v>
      </c>
      <c r="C45" s="42" t="str">
        <f aca="false">IF(SUM(D45:I45)&gt;0, 1, "")</f>
        <v/>
      </c>
      <c r="D45" s="17"/>
      <c r="E45" s="17"/>
      <c r="F45" s="17"/>
      <c r="G45" s="17"/>
      <c r="H45" s="17"/>
      <c r="I45" s="17"/>
      <c r="J45" s="42" t="str">
        <f aca="false">IF(SUM(K45:P45)&gt;0, 1, "")</f>
        <v/>
      </c>
      <c r="K45" s="17"/>
      <c r="L45" s="17"/>
      <c r="M45" s="17"/>
      <c r="N45" s="17"/>
      <c r="O45" s="17"/>
      <c r="P45" s="17"/>
      <c r="Q45" s="42" t="str">
        <f aca="false">IF(SUM(R45:W45)&gt;0, 1, "")</f>
        <v/>
      </c>
      <c r="R45" s="17"/>
      <c r="S45" s="17"/>
      <c r="T45" s="17"/>
      <c r="U45" s="17"/>
      <c r="V45" s="17"/>
      <c r="W45" s="17"/>
      <c r="X45" s="42" t="str">
        <f aca="false">IF(SUM(Y45:AD45)&gt;0, 1, "")</f>
        <v/>
      </c>
      <c r="Y45" s="17"/>
      <c r="Z45" s="17"/>
      <c r="AA45" s="17"/>
      <c r="AB45" s="17"/>
      <c r="AC45" s="17"/>
      <c r="AD45" s="17"/>
      <c r="AE45" s="42" t="str">
        <f aca="false">IF(SUM(AF45:AK45)&gt;0, 1, "")</f>
        <v/>
      </c>
      <c r="AF45" s="17"/>
      <c r="AG45" s="17"/>
      <c r="AH45" s="17"/>
      <c r="AI45" s="17"/>
      <c r="AJ45" s="17"/>
      <c r="AK45" s="17"/>
      <c r="AL45" s="42" t="str">
        <f aca="false">IF(SUM(AM45:AR45)&gt;0, 1, "")</f>
        <v/>
      </c>
      <c r="AM45" s="17"/>
      <c r="AN45" s="17"/>
      <c r="AO45" s="17"/>
      <c r="AP45" s="17"/>
      <c r="AQ45" s="17"/>
      <c r="AR45" s="17"/>
      <c r="AS45" s="42" t="str">
        <f aca="false">IF(SUM(AT45:AY45)&gt;0, 1, "")</f>
        <v/>
      </c>
      <c r="AT45" s="17"/>
      <c r="AU45" s="17"/>
      <c r="AV45" s="17"/>
      <c r="AW45" s="17"/>
      <c r="AX45" s="17"/>
      <c r="AY45" s="17"/>
      <c r="AZ45" s="42" t="str">
        <f aca="false">IF(SUM(BA45:BF45)&gt;0, 1, "")</f>
        <v/>
      </c>
      <c r="BA45" s="17"/>
      <c r="BB45" s="17"/>
      <c r="BC45" s="17"/>
      <c r="BD45" s="17"/>
      <c r="BE45" s="17"/>
      <c r="BF45" s="17"/>
      <c r="BG45" s="42" t="str">
        <f aca="false">IF(SUM(BH45:BM45)&gt;0, 1, "")</f>
        <v/>
      </c>
      <c r="BH45" s="17"/>
      <c r="BI45" s="17"/>
      <c r="BJ45" s="17"/>
      <c r="BK45" s="17"/>
      <c r="BL45" s="17"/>
      <c r="BM45" s="17"/>
    </row>
    <row r="46" customFormat="false" ht="15" hidden="false" customHeight="false" outlineLevel="0" collapsed="false">
      <c r="A46" s="17" t="s">
        <v>156</v>
      </c>
      <c r="B46" s="17" t="s">
        <v>157</v>
      </c>
      <c r="C46" s="42" t="str">
        <f aca="false">IF(SUM(D46:I46)&gt;0, 1, "")</f>
        <v/>
      </c>
      <c r="D46" s="17"/>
      <c r="E46" s="17"/>
      <c r="F46" s="17"/>
      <c r="G46" s="17"/>
      <c r="H46" s="17"/>
      <c r="I46" s="17"/>
      <c r="J46" s="42" t="str">
        <f aca="false">IF(SUM(K46:P46)&gt;0, 1, "")</f>
        <v/>
      </c>
      <c r="K46" s="17"/>
      <c r="L46" s="17"/>
      <c r="M46" s="17"/>
      <c r="N46" s="17"/>
      <c r="O46" s="17"/>
      <c r="P46" s="17"/>
      <c r="Q46" s="42" t="str">
        <f aca="false">IF(SUM(R46:W46)&gt;0, 1, "")</f>
        <v/>
      </c>
      <c r="R46" s="17"/>
      <c r="S46" s="17"/>
      <c r="T46" s="17"/>
      <c r="U46" s="17"/>
      <c r="V46" s="17"/>
      <c r="W46" s="17"/>
      <c r="X46" s="42" t="str">
        <f aca="false">IF(SUM(Y46:AD46)&gt;0, 1, "")</f>
        <v/>
      </c>
      <c r="Y46" s="17"/>
      <c r="Z46" s="17"/>
      <c r="AA46" s="17"/>
      <c r="AB46" s="17"/>
      <c r="AC46" s="17"/>
      <c r="AD46" s="17"/>
      <c r="AE46" s="42" t="str">
        <f aca="false">IF(SUM(AF46:AK46)&gt;0, 1, "")</f>
        <v/>
      </c>
      <c r="AF46" s="17"/>
      <c r="AG46" s="17"/>
      <c r="AH46" s="17"/>
      <c r="AI46" s="17"/>
      <c r="AJ46" s="17"/>
      <c r="AK46" s="17"/>
      <c r="AL46" s="42" t="str">
        <f aca="false">IF(SUM(AM46:AR46)&gt;0, 1, "")</f>
        <v/>
      </c>
      <c r="AM46" s="17"/>
      <c r="AN46" s="17"/>
      <c r="AO46" s="17"/>
      <c r="AP46" s="17"/>
      <c r="AQ46" s="17"/>
      <c r="AR46" s="17"/>
      <c r="AS46" s="42" t="str">
        <f aca="false">IF(SUM(AT46:AY46)&gt;0, 1, "")</f>
        <v/>
      </c>
      <c r="AT46" s="17"/>
      <c r="AU46" s="17"/>
      <c r="AV46" s="17"/>
      <c r="AW46" s="17"/>
      <c r="AX46" s="17"/>
      <c r="AY46" s="17"/>
      <c r="AZ46" s="42" t="str">
        <f aca="false">IF(SUM(BA46:BF46)&gt;0, 1, "")</f>
        <v/>
      </c>
      <c r="BA46" s="17"/>
      <c r="BB46" s="17"/>
      <c r="BC46" s="17"/>
      <c r="BD46" s="17"/>
      <c r="BE46" s="17"/>
      <c r="BF46" s="17"/>
      <c r="BG46" s="42" t="str">
        <f aca="false">IF(SUM(BH46:BM46)&gt;0, 1, "")</f>
        <v/>
      </c>
      <c r="BH46" s="17"/>
      <c r="BI46" s="17"/>
      <c r="BJ46" s="17"/>
      <c r="BK46" s="17"/>
      <c r="BL46" s="17"/>
      <c r="BM46" s="17"/>
    </row>
    <row r="47" customFormat="false" ht="15" hidden="false" customHeight="false" outlineLevel="0" collapsed="false">
      <c r="A47" s="17" t="s">
        <v>158</v>
      </c>
      <c r="B47" s="17" t="s">
        <v>159</v>
      </c>
      <c r="C47" s="42" t="str">
        <f aca="false">IF(SUM(D47:I47)&gt;0, 1, "")</f>
        <v/>
      </c>
      <c r="D47" s="17"/>
      <c r="E47" s="17"/>
      <c r="F47" s="17"/>
      <c r="G47" s="17"/>
      <c r="H47" s="17"/>
      <c r="I47" s="17"/>
      <c r="J47" s="42" t="str">
        <f aca="false">IF(SUM(K47:P47)&gt;0, 1, "")</f>
        <v/>
      </c>
      <c r="K47" s="17"/>
      <c r="L47" s="17"/>
      <c r="M47" s="17"/>
      <c r="N47" s="17"/>
      <c r="O47" s="17"/>
      <c r="P47" s="17"/>
      <c r="Q47" s="42" t="str">
        <f aca="false">IF(SUM(R47:W47)&gt;0, 1, "")</f>
        <v/>
      </c>
      <c r="R47" s="17"/>
      <c r="S47" s="17"/>
      <c r="T47" s="17"/>
      <c r="U47" s="17"/>
      <c r="V47" s="17"/>
      <c r="W47" s="17"/>
      <c r="X47" s="42" t="str">
        <f aca="false">IF(SUM(Y47:AD47)&gt;0, 1, "")</f>
        <v/>
      </c>
      <c r="Y47" s="17"/>
      <c r="Z47" s="17"/>
      <c r="AA47" s="17"/>
      <c r="AB47" s="17"/>
      <c r="AC47" s="17"/>
      <c r="AD47" s="17"/>
      <c r="AE47" s="42" t="str">
        <f aca="false">IF(SUM(AF47:AK47)&gt;0, 1, "")</f>
        <v/>
      </c>
      <c r="AF47" s="17"/>
      <c r="AG47" s="17"/>
      <c r="AH47" s="17"/>
      <c r="AI47" s="17"/>
      <c r="AJ47" s="17"/>
      <c r="AK47" s="17"/>
      <c r="AL47" s="42" t="str">
        <f aca="false">IF(SUM(AM47:AR47)&gt;0, 1, "")</f>
        <v/>
      </c>
      <c r="AM47" s="17"/>
      <c r="AN47" s="17"/>
      <c r="AO47" s="17"/>
      <c r="AP47" s="17"/>
      <c r="AQ47" s="17"/>
      <c r="AR47" s="17"/>
      <c r="AS47" s="42" t="str">
        <f aca="false">IF(SUM(AT47:AY47)&gt;0, 1, "")</f>
        <v/>
      </c>
      <c r="AT47" s="17"/>
      <c r="AU47" s="17"/>
      <c r="AV47" s="17"/>
      <c r="AW47" s="17"/>
      <c r="AX47" s="17"/>
      <c r="AY47" s="17"/>
      <c r="AZ47" s="42" t="str">
        <f aca="false">IF(SUM(BA47:BF47)&gt;0, 1, "")</f>
        <v/>
      </c>
      <c r="BA47" s="17"/>
      <c r="BB47" s="17"/>
      <c r="BC47" s="17"/>
      <c r="BD47" s="17"/>
      <c r="BE47" s="17"/>
      <c r="BF47" s="17"/>
      <c r="BG47" s="42" t="str">
        <f aca="false">IF(SUM(BH47:BM47)&gt;0, 1, "")</f>
        <v/>
      </c>
      <c r="BH47" s="17"/>
      <c r="BI47" s="17"/>
      <c r="BJ47" s="17"/>
      <c r="BK47" s="17"/>
      <c r="BL47" s="17"/>
      <c r="BM47" s="17"/>
    </row>
    <row r="48" customFormat="false" ht="15" hidden="false" customHeight="false" outlineLevel="0" collapsed="false">
      <c r="A48" s="17" t="s">
        <v>160</v>
      </c>
      <c r="B48" s="17" t="s">
        <v>161</v>
      </c>
      <c r="C48" s="42" t="str">
        <f aca="false">IF(SUM(D48:I48)&gt;0, 1, "")</f>
        <v/>
      </c>
      <c r="D48" s="17"/>
      <c r="E48" s="17"/>
      <c r="F48" s="17"/>
      <c r="G48" s="17"/>
      <c r="H48" s="17"/>
      <c r="I48" s="17"/>
      <c r="J48" s="42" t="str">
        <f aca="false">IF(SUM(K48:P48)&gt;0, 1, "")</f>
        <v/>
      </c>
      <c r="K48" s="17"/>
      <c r="L48" s="17"/>
      <c r="M48" s="17"/>
      <c r="N48" s="17"/>
      <c r="O48" s="17"/>
      <c r="P48" s="17"/>
      <c r="Q48" s="42" t="str">
        <f aca="false">IF(SUM(R48:W48)&gt;0, 1, "")</f>
        <v/>
      </c>
      <c r="R48" s="17"/>
      <c r="S48" s="17"/>
      <c r="T48" s="17"/>
      <c r="U48" s="17"/>
      <c r="V48" s="17"/>
      <c r="W48" s="17"/>
      <c r="X48" s="42" t="str">
        <f aca="false">IF(SUM(Y48:AD48)&gt;0, 1, "")</f>
        <v/>
      </c>
      <c r="Y48" s="17"/>
      <c r="Z48" s="17"/>
      <c r="AA48" s="17"/>
      <c r="AB48" s="17"/>
      <c r="AC48" s="17"/>
      <c r="AD48" s="17"/>
      <c r="AE48" s="42" t="str">
        <f aca="false">IF(SUM(AF48:AK48)&gt;0, 1, "")</f>
        <v/>
      </c>
      <c r="AF48" s="17"/>
      <c r="AG48" s="17"/>
      <c r="AH48" s="17"/>
      <c r="AI48" s="17"/>
      <c r="AJ48" s="17"/>
      <c r="AK48" s="17"/>
      <c r="AL48" s="42" t="str">
        <f aca="false">IF(SUM(AM48:AR48)&gt;0, 1, "")</f>
        <v/>
      </c>
      <c r="AM48" s="17"/>
      <c r="AN48" s="17"/>
      <c r="AO48" s="17"/>
      <c r="AP48" s="17"/>
      <c r="AQ48" s="17"/>
      <c r="AR48" s="17"/>
      <c r="AS48" s="42" t="str">
        <f aca="false">IF(SUM(AT48:AY48)&gt;0, 1, "")</f>
        <v/>
      </c>
      <c r="AT48" s="17"/>
      <c r="AU48" s="17"/>
      <c r="AV48" s="17"/>
      <c r="AW48" s="17"/>
      <c r="AX48" s="17"/>
      <c r="AY48" s="17"/>
      <c r="AZ48" s="42" t="str">
        <f aca="false">IF(SUM(BA48:BF48)&gt;0, 1, "")</f>
        <v/>
      </c>
      <c r="BA48" s="17"/>
      <c r="BB48" s="17"/>
      <c r="BC48" s="17"/>
      <c r="BD48" s="17"/>
      <c r="BE48" s="17"/>
      <c r="BF48" s="17"/>
      <c r="BG48" s="42" t="str">
        <f aca="false">IF(SUM(BH48:BM48)&gt;0, 1, "")</f>
        <v/>
      </c>
      <c r="BH48" s="17"/>
      <c r="BI48" s="17"/>
      <c r="BJ48" s="17"/>
      <c r="BK48" s="17"/>
      <c r="BL48" s="17"/>
      <c r="BM48" s="17"/>
    </row>
    <row r="49" customFormat="false" ht="15" hidden="false" customHeight="false" outlineLevel="0" collapsed="false">
      <c r="A49" s="17" t="s">
        <v>162</v>
      </c>
      <c r="B49" s="17" t="s">
        <v>163</v>
      </c>
      <c r="C49" s="42" t="str">
        <f aca="false">IF(SUM(D49:I49)&gt;0, 1, "")</f>
        <v/>
      </c>
      <c r="D49" s="17"/>
      <c r="E49" s="17"/>
      <c r="F49" s="17"/>
      <c r="G49" s="17"/>
      <c r="H49" s="17"/>
      <c r="I49" s="17"/>
      <c r="J49" s="42" t="str">
        <f aca="false">IF(SUM(K49:P49)&gt;0, 1, "")</f>
        <v/>
      </c>
      <c r="K49" s="17"/>
      <c r="L49" s="17"/>
      <c r="M49" s="17"/>
      <c r="N49" s="17"/>
      <c r="O49" s="17"/>
      <c r="P49" s="17"/>
      <c r="Q49" s="42" t="str">
        <f aca="false">IF(SUM(R49:W49)&gt;0, 1, "")</f>
        <v/>
      </c>
      <c r="R49" s="17"/>
      <c r="S49" s="17"/>
      <c r="T49" s="17"/>
      <c r="U49" s="17"/>
      <c r="V49" s="17"/>
      <c r="W49" s="17"/>
      <c r="X49" s="42" t="str">
        <f aca="false">IF(SUM(Y49:AD49)&gt;0, 1, "")</f>
        <v/>
      </c>
      <c r="Y49" s="17"/>
      <c r="Z49" s="17"/>
      <c r="AA49" s="17"/>
      <c r="AB49" s="17"/>
      <c r="AC49" s="17"/>
      <c r="AD49" s="17"/>
      <c r="AE49" s="42" t="str">
        <f aca="false">IF(SUM(AF49:AK49)&gt;0, 1, "")</f>
        <v/>
      </c>
      <c r="AF49" s="17"/>
      <c r="AG49" s="17"/>
      <c r="AH49" s="17"/>
      <c r="AI49" s="17"/>
      <c r="AJ49" s="17"/>
      <c r="AK49" s="17"/>
      <c r="AL49" s="42" t="str">
        <f aca="false">IF(SUM(AM49:AR49)&gt;0, 1, "")</f>
        <v/>
      </c>
      <c r="AM49" s="17"/>
      <c r="AN49" s="17"/>
      <c r="AO49" s="17"/>
      <c r="AP49" s="17"/>
      <c r="AQ49" s="17"/>
      <c r="AR49" s="17"/>
      <c r="AS49" s="42" t="str">
        <f aca="false">IF(SUM(AT49:AY49)&gt;0, 1, "")</f>
        <v/>
      </c>
      <c r="AT49" s="17"/>
      <c r="AU49" s="17"/>
      <c r="AV49" s="17"/>
      <c r="AW49" s="17"/>
      <c r="AX49" s="17"/>
      <c r="AY49" s="17"/>
      <c r="AZ49" s="42" t="str">
        <f aca="false">IF(SUM(BA49:BF49)&gt;0, 1, "")</f>
        <v/>
      </c>
      <c r="BA49" s="17"/>
      <c r="BB49" s="17"/>
      <c r="BC49" s="17"/>
      <c r="BD49" s="17"/>
      <c r="BE49" s="17"/>
      <c r="BF49" s="17"/>
      <c r="BG49" s="42" t="str">
        <f aca="false">IF(SUM(BH49:BM49)&gt;0, 1, "")</f>
        <v/>
      </c>
      <c r="BH49" s="17"/>
      <c r="BI49" s="17"/>
      <c r="BJ49" s="17"/>
      <c r="BK49" s="17"/>
      <c r="BL49" s="17"/>
      <c r="BM49" s="17"/>
    </row>
    <row r="50" customFormat="false" ht="15" hidden="false" customHeight="false" outlineLevel="0" collapsed="false">
      <c r="A50" s="17" t="s">
        <v>164</v>
      </c>
      <c r="B50" s="17" t="s">
        <v>165</v>
      </c>
      <c r="C50" s="42" t="str">
        <f aca="false">IF(SUM(D50:I50)&gt;0, 1, "")</f>
        <v/>
      </c>
      <c r="D50" s="17"/>
      <c r="E50" s="17"/>
      <c r="F50" s="17"/>
      <c r="G50" s="17"/>
      <c r="H50" s="17"/>
      <c r="I50" s="17"/>
      <c r="J50" s="42" t="str">
        <f aca="false">IF(SUM(K50:P50)&gt;0, 1, "")</f>
        <v/>
      </c>
      <c r="K50" s="17"/>
      <c r="L50" s="17"/>
      <c r="M50" s="17"/>
      <c r="N50" s="17"/>
      <c r="O50" s="17"/>
      <c r="P50" s="17"/>
      <c r="Q50" s="42" t="str">
        <f aca="false">IF(SUM(R50:W50)&gt;0, 1, "")</f>
        <v/>
      </c>
      <c r="R50" s="17"/>
      <c r="S50" s="17"/>
      <c r="T50" s="17"/>
      <c r="U50" s="17"/>
      <c r="V50" s="17"/>
      <c r="W50" s="17"/>
      <c r="X50" s="42" t="str">
        <f aca="false">IF(SUM(Y50:AD50)&gt;0, 1, "")</f>
        <v/>
      </c>
      <c r="Y50" s="17"/>
      <c r="Z50" s="17"/>
      <c r="AA50" s="17"/>
      <c r="AB50" s="17"/>
      <c r="AC50" s="17"/>
      <c r="AD50" s="17"/>
      <c r="AE50" s="42" t="str">
        <f aca="false">IF(SUM(AF50:AK50)&gt;0, 1, "")</f>
        <v/>
      </c>
      <c r="AF50" s="17"/>
      <c r="AG50" s="17"/>
      <c r="AH50" s="17"/>
      <c r="AI50" s="17"/>
      <c r="AJ50" s="17"/>
      <c r="AK50" s="17"/>
      <c r="AL50" s="42" t="str">
        <f aca="false">IF(SUM(AM50:AR50)&gt;0, 1, "")</f>
        <v/>
      </c>
      <c r="AM50" s="17"/>
      <c r="AN50" s="17"/>
      <c r="AO50" s="17"/>
      <c r="AP50" s="17"/>
      <c r="AQ50" s="17"/>
      <c r="AR50" s="17"/>
      <c r="AS50" s="42" t="str">
        <f aca="false">IF(SUM(AT50:AY50)&gt;0, 1, "")</f>
        <v/>
      </c>
      <c r="AT50" s="17"/>
      <c r="AU50" s="17"/>
      <c r="AV50" s="17"/>
      <c r="AW50" s="17"/>
      <c r="AX50" s="17"/>
      <c r="AY50" s="17"/>
      <c r="AZ50" s="42" t="str">
        <f aca="false">IF(SUM(BA50:BF50)&gt;0, 1, "")</f>
        <v/>
      </c>
      <c r="BA50" s="17"/>
      <c r="BB50" s="17"/>
      <c r="BC50" s="17"/>
      <c r="BD50" s="17"/>
      <c r="BE50" s="17"/>
      <c r="BF50" s="17"/>
      <c r="BG50" s="42" t="str">
        <f aca="false">IF(SUM(BH50:BM50)&gt;0, 1, "")</f>
        <v/>
      </c>
      <c r="BH50" s="17"/>
      <c r="BI50" s="17"/>
      <c r="BJ50" s="17"/>
      <c r="BK50" s="17"/>
      <c r="BL50" s="17"/>
      <c r="BM50" s="17"/>
    </row>
    <row r="51" customFormat="false" ht="15" hidden="false" customHeight="false" outlineLevel="0" collapsed="false">
      <c r="A51" s="17" t="s">
        <v>166</v>
      </c>
      <c r="B51" s="17" t="s">
        <v>167</v>
      </c>
      <c r="C51" s="42" t="str">
        <f aca="false">IF(SUM(D51:I51)&gt;0, 1, "")</f>
        <v/>
      </c>
      <c r="D51" s="17"/>
      <c r="E51" s="17"/>
      <c r="F51" s="17"/>
      <c r="G51" s="17"/>
      <c r="H51" s="17"/>
      <c r="I51" s="17"/>
      <c r="J51" s="42" t="str">
        <f aca="false">IF(SUM(K51:P51)&gt;0, 1, "")</f>
        <v/>
      </c>
      <c r="K51" s="17"/>
      <c r="L51" s="17"/>
      <c r="M51" s="17"/>
      <c r="N51" s="17"/>
      <c r="O51" s="17"/>
      <c r="P51" s="17"/>
      <c r="Q51" s="42" t="str">
        <f aca="false">IF(SUM(R51:W51)&gt;0, 1, "")</f>
        <v/>
      </c>
      <c r="R51" s="17"/>
      <c r="S51" s="17"/>
      <c r="T51" s="17"/>
      <c r="U51" s="17"/>
      <c r="V51" s="17"/>
      <c r="W51" s="17"/>
      <c r="X51" s="42" t="str">
        <f aca="false">IF(SUM(Y51:AD51)&gt;0, 1, "")</f>
        <v/>
      </c>
      <c r="Y51" s="17"/>
      <c r="Z51" s="17"/>
      <c r="AA51" s="17"/>
      <c r="AB51" s="17"/>
      <c r="AC51" s="17"/>
      <c r="AD51" s="17"/>
      <c r="AE51" s="42" t="str">
        <f aca="false">IF(SUM(AF51:AK51)&gt;0, 1, "")</f>
        <v/>
      </c>
      <c r="AF51" s="17"/>
      <c r="AG51" s="17"/>
      <c r="AH51" s="17"/>
      <c r="AI51" s="17"/>
      <c r="AJ51" s="17"/>
      <c r="AK51" s="17"/>
      <c r="AL51" s="42" t="str">
        <f aca="false">IF(SUM(AM51:AR51)&gt;0, 1, "")</f>
        <v/>
      </c>
      <c r="AM51" s="17"/>
      <c r="AN51" s="17"/>
      <c r="AO51" s="17"/>
      <c r="AP51" s="17"/>
      <c r="AQ51" s="17"/>
      <c r="AR51" s="17"/>
      <c r="AS51" s="42" t="str">
        <f aca="false">IF(SUM(AT51:AY51)&gt;0, 1, "")</f>
        <v/>
      </c>
      <c r="AT51" s="17"/>
      <c r="AU51" s="17"/>
      <c r="AV51" s="17"/>
      <c r="AW51" s="17"/>
      <c r="AX51" s="17"/>
      <c r="AY51" s="17"/>
      <c r="AZ51" s="42" t="str">
        <f aca="false">IF(SUM(BA51:BF51)&gt;0, 1, "")</f>
        <v/>
      </c>
      <c r="BA51" s="17"/>
      <c r="BB51" s="17"/>
      <c r="BC51" s="17"/>
      <c r="BD51" s="17"/>
      <c r="BE51" s="17"/>
      <c r="BF51" s="17"/>
      <c r="BG51" s="42" t="str">
        <f aca="false">IF(SUM(BH51:BM51)&gt;0, 1, "")</f>
        <v/>
      </c>
      <c r="BH51" s="17"/>
      <c r="BI51" s="17"/>
      <c r="BJ51" s="17"/>
      <c r="BK51" s="17"/>
      <c r="BL51" s="17"/>
      <c r="BM51" s="17"/>
    </row>
    <row r="52" customFormat="false" ht="15" hidden="false" customHeight="false" outlineLevel="0" collapsed="false">
      <c r="A52" s="17" t="s">
        <v>168</v>
      </c>
      <c r="B52" s="17" t="s">
        <v>169</v>
      </c>
      <c r="C52" s="42" t="str">
        <f aca="false">IF(SUM(D52:I52)&gt;0, 1, "")</f>
        <v/>
      </c>
      <c r="D52" s="17"/>
      <c r="E52" s="17"/>
      <c r="F52" s="17"/>
      <c r="G52" s="17"/>
      <c r="H52" s="17"/>
      <c r="I52" s="17"/>
      <c r="J52" s="42" t="str">
        <f aca="false">IF(SUM(K52:P52)&gt;0, 1, "")</f>
        <v/>
      </c>
      <c r="K52" s="17"/>
      <c r="L52" s="17"/>
      <c r="M52" s="17"/>
      <c r="N52" s="17"/>
      <c r="O52" s="17"/>
      <c r="P52" s="17"/>
      <c r="Q52" s="42" t="str">
        <f aca="false">IF(SUM(R52:W52)&gt;0, 1, "")</f>
        <v/>
      </c>
      <c r="R52" s="17"/>
      <c r="S52" s="17"/>
      <c r="T52" s="17"/>
      <c r="U52" s="17"/>
      <c r="V52" s="17"/>
      <c r="W52" s="17"/>
      <c r="X52" s="42" t="str">
        <f aca="false">IF(SUM(Y52:AD52)&gt;0, 1, "")</f>
        <v/>
      </c>
      <c r="Y52" s="17"/>
      <c r="Z52" s="17"/>
      <c r="AA52" s="17"/>
      <c r="AB52" s="17"/>
      <c r="AC52" s="17"/>
      <c r="AD52" s="17"/>
      <c r="AE52" s="42" t="str">
        <f aca="false">IF(SUM(AF52:AK52)&gt;0, 1, "")</f>
        <v/>
      </c>
      <c r="AF52" s="17"/>
      <c r="AG52" s="17"/>
      <c r="AH52" s="17"/>
      <c r="AI52" s="17"/>
      <c r="AJ52" s="17"/>
      <c r="AK52" s="17"/>
      <c r="AL52" s="42" t="str">
        <f aca="false">IF(SUM(AM52:AR52)&gt;0, 1, "")</f>
        <v/>
      </c>
      <c r="AM52" s="17"/>
      <c r="AN52" s="17"/>
      <c r="AO52" s="17"/>
      <c r="AP52" s="17"/>
      <c r="AQ52" s="17"/>
      <c r="AR52" s="17"/>
      <c r="AS52" s="42" t="str">
        <f aca="false">IF(SUM(AT52:AY52)&gt;0, 1, "")</f>
        <v/>
      </c>
      <c r="AT52" s="17"/>
      <c r="AU52" s="17"/>
      <c r="AV52" s="17"/>
      <c r="AW52" s="17"/>
      <c r="AX52" s="17"/>
      <c r="AY52" s="17"/>
      <c r="AZ52" s="42" t="str">
        <f aca="false">IF(SUM(BA52:BF52)&gt;0, 1, "")</f>
        <v/>
      </c>
      <c r="BA52" s="17"/>
      <c r="BB52" s="17"/>
      <c r="BC52" s="17"/>
      <c r="BD52" s="17"/>
      <c r="BE52" s="17"/>
      <c r="BF52" s="17"/>
      <c r="BG52" s="42" t="str">
        <f aca="false">IF(SUM(BH52:BM52)&gt;0, 1, "")</f>
        <v/>
      </c>
      <c r="BH52" s="17"/>
      <c r="BI52" s="17"/>
      <c r="BJ52" s="17"/>
      <c r="BK52" s="17"/>
      <c r="BL52" s="17"/>
      <c r="BM52" s="17"/>
    </row>
    <row r="53" customFormat="false" ht="15" hidden="false" customHeight="false" outlineLevel="0" collapsed="false">
      <c r="A53" s="17" t="s">
        <v>170</v>
      </c>
      <c r="B53" s="17" t="s">
        <v>171</v>
      </c>
      <c r="C53" s="42" t="str">
        <f aca="false">IF(SUM(D53:I53)&gt;0, 1, "")</f>
        <v/>
      </c>
      <c r="D53" s="17"/>
      <c r="E53" s="17"/>
      <c r="F53" s="17"/>
      <c r="G53" s="17"/>
      <c r="H53" s="17"/>
      <c r="I53" s="17"/>
      <c r="J53" s="42" t="str">
        <f aca="false">IF(SUM(K53:P53)&gt;0, 1, "")</f>
        <v/>
      </c>
      <c r="K53" s="17"/>
      <c r="L53" s="17"/>
      <c r="M53" s="17"/>
      <c r="N53" s="17"/>
      <c r="O53" s="17"/>
      <c r="P53" s="17"/>
      <c r="Q53" s="42" t="str">
        <f aca="false">IF(SUM(R53:W53)&gt;0, 1, "")</f>
        <v/>
      </c>
      <c r="R53" s="17"/>
      <c r="S53" s="17"/>
      <c r="T53" s="17"/>
      <c r="U53" s="17"/>
      <c r="V53" s="17"/>
      <c r="W53" s="17"/>
      <c r="X53" s="42" t="str">
        <f aca="false">IF(SUM(Y53:AD53)&gt;0, 1, "")</f>
        <v/>
      </c>
      <c r="Y53" s="17"/>
      <c r="Z53" s="17"/>
      <c r="AA53" s="17"/>
      <c r="AB53" s="17"/>
      <c r="AC53" s="17"/>
      <c r="AD53" s="17"/>
      <c r="AE53" s="42" t="str">
        <f aca="false">IF(SUM(AF53:AK53)&gt;0, 1, "")</f>
        <v/>
      </c>
      <c r="AF53" s="17"/>
      <c r="AG53" s="17"/>
      <c r="AH53" s="17"/>
      <c r="AI53" s="17"/>
      <c r="AJ53" s="17"/>
      <c r="AK53" s="17"/>
      <c r="AL53" s="42" t="str">
        <f aca="false">IF(SUM(AM53:AR53)&gt;0, 1, "")</f>
        <v/>
      </c>
      <c r="AM53" s="17"/>
      <c r="AN53" s="17"/>
      <c r="AO53" s="17"/>
      <c r="AP53" s="17"/>
      <c r="AQ53" s="17"/>
      <c r="AR53" s="17"/>
      <c r="AS53" s="42" t="str">
        <f aca="false">IF(SUM(AT53:AY53)&gt;0, 1, "")</f>
        <v/>
      </c>
      <c r="AT53" s="17"/>
      <c r="AU53" s="17"/>
      <c r="AV53" s="17"/>
      <c r="AW53" s="17"/>
      <c r="AX53" s="17"/>
      <c r="AY53" s="17"/>
      <c r="AZ53" s="42" t="str">
        <f aca="false">IF(SUM(BA53:BF53)&gt;0, 1, "")</f>
        <v/>
      </c>
      <c r="BA53" s="17"/>
      <c r="BB53" s="17"/>
      <c r="BC53" s="17"/>
      <c r="BD53" s="17"/>
      <c r="BE53" s="17"/>
      <c r="BF53" s="17"/>
      <c r="BG53" s="42" t="str">
        <f aca="false">IF(SUM(BH53:BM53)&gt;0, 1, "")</f>
        <v/>
      </c>
      <c r="BH53" s="17"/>
      <c r="BI53" s="17"/>
      <c r="BJ53" s="17"/>
      <c r="BK53" s="17"/>
      <c r="BL53" s="17"/>
      <c r="BM53" s="17"/>
    </row>
    <row r="54" customFormat="false" ht="15" hidden="false" customHeight="false" outlineLevel="0" collapsed="false">
      <c r="A54" s="17" t="s">
        <v>172</v>
      </c>
      <c r="B54" s="17" t="s">
        <v>173</v>
      </c>
      <c r="C54" s="42" t="str">
        <f aca="false">IF(SUM(D54:I54)&gt;0, 1, "")</f>
        <v/>
      </c>
      <c r="D54" s="17"/>
      <c r="E54" s="17"/>
      <c r="F54" s="17"/>
      <c r="G54" s="17"/>
      <c r="H54" s="17"/>
      <c r="I54" s="17"/>
      <c r="J54" s="42" t="str">
        <f aca="false">IF(SUM(K54:P54)&gt;0, 1, "")</f>
        <v/>
      </c>
      <c r="K54" s="17"/>
      <c r="L54" s="17"/>
      <c r="M54" s="17"/>
      <c r="N54" s="17"/>
      <c r="O54" s="17"/>
      <c r="P54" s="17"/>
      <c r="Q54" s="42" t="str">
        <f aca="false">IF(SUM(R54:W54)&gt;0, 1, "")</f>
        <v/>
      </c>
      <c r="R54" s="17"/>
      <c r="S54" s="17"/>
      <c r="T54" s="17"/>
      <c r="U54" s="17"/>
      <c r="V54" s="17"/>
      <c r="W54" s="17"/>
      <c r="X54" s="42" t="str">
        <f aca="false">IF(SUM(Y54:AD54)&gt;0, 1, "")</f>
        <v/>
      </c>
      <c r="Y54" s="17"/>
      <c r="Z54" s="17"/>
      <c r="AA54" s="17"/>
      <c r="AB54" s="17"/>
      <c r="AC54" s="17"/>
      <c r="AD54" s="17"/>
      <c r="AE54" s="42" t="str">
        <f aca="false">IF(SUM(AF54:AK54)&gt;0, 1, "")</f>
        <v/>
      </c>
      <c r="AF54" s="17"/>
      <c r="AG54" s="17"/>
      <c r="AH54" s="17"/>
      <c r="AI54" s="17"/>
      <c r="AJ54" s="17"/>
      <c r="AK54" s="17"/>
      <c r="AL54" s="42" t="str">
        <f aca="false">IF(SUM(AM54:AR54)&gt;0, 1, "")</f>
        <v/>
      </c>
      <c r="AM54" s="17"/>
      <c r="AN54" s="17"/>
      <c r="AO54" s="17"/>
      <c r="AP54" s="17"/>
      <c r="AQ54" s="17"/>
      <c r="AR54" s="17"/>
      <c r="AS54" s="42" t="str">
        <f aca="false">IF(SUM(AT54:AY54)&gt;0, 1, "")</f>
        <v/>
      </c>
      <c r="AT54" s="17"/>
      <c r="AU54" s="17"/>
      <c r="AV54" s="17"/>
      <c r="AW54" s="17"/>
      <c r="AX54" s="17"/>
      <c r="AY54" s="17"/>
      <c r="AZ54" s="42" t="str">
        <f aca="false">IF(SUM(BA54:BF54)&gt;0, 1, "")</f>
        <v/>
      </c>
      <c r="BA54" s="17"/>
      <c r="BB54" s="17"/>
      <c r="BC54" s="17"/>
      <c r="BD54" s="17"/>
      <c r="BE54" s="17"/>
      <c r="BF54" s="17"/>
      <c r="BG54" s="42" t="str">
        <f aca="false">IF(SUM(BH54:BM54)&gt;0, 1, "")</f>
        <v/>
      </c>
      <c r="BH54" s="17"/>
      <c r="BI54" s="17"/>
      <c r="BJ54" s="17"/>
      <c r="BK54" s="17"/>
      <c r="BL54" s="17"/>
      <c r="BM54" s="17"/>
    </row>
    <row r="55" customFormat="false" ht="15" hidden="false" customHeight="false" outlineLevel="0" collapsed="false">
      <c r="A55" s="17" t="s">
        <v>174</v>
      </c>
      <c r="B55" s="17" t="s">
        <v>175</v>
      </c>
      <c r="C55" s="42" t="str">
        <f aca="false">IF(SUM(D55:I55)&gt;0, 1, "")</f>
        <v/>
      </c>
      <c r="D55" s="17"/>
      <c r="E55" s="17"/>
      <c r="F55" s="17"/>
      <c r="G55" s="17"/>
      <c r="H55" s="17"/>
      <c r="I55" s="17"/>
      <c r="J55" s="42" t="str">
        <f aca="false">IF(SUM(K55:P55)&gt;0, 1, "")</f>
        <v/>
      </c>
      <c r="K55" s="17"/>
      <c r="L55" s="17"/>
      <c r="M55" s="17"/>
      <c r="N55" s="17"/>
      <c r="O55" s="17"/>
      <c r="P55" s="17"/>
      <c r="Q55" s="42" t="str">
        <f aca="false">IF(SUM(R55:W55)&gt;0, 1, "")</f>
        <v/>
      </c>
      <c r="R55" s="17"/>
      <c r="S55" s="17"/>
      <c r="T55" s="17"/>
      <c r="U55" s="17"/>
      <c r="V55" s="17"/>
      <c r="W55" s="17"/>
      <c r="X55" s="42" t="str">
        <f aca="false">IF(SUM(Y55:AD55)&gt;0, 1, "")</f>
        <v/>
      </c>
      <c r="Y55" s="17"/>
      <c r="Z55" s="17"/>
      <c r="AA55" s="17"/>
      <c r="AB55" s="17"/>
      <c r="AC55" s="17"/>
      <c r="AD55" s="17"/>
      <c r="AE55" s="42" t="str">
        <f aca="false">IF(SUM(AF55:AK55)&gt;0, 1, "")</f>
        <v/>
      </c>
      <c r="AF55" s="17"/>
      <c r="AG55" s="17"/>
      <c r="AH55" s="17"/>
      <c r="AI55" s="17"/>
      <c r="AJ55" s="17"/>
      <c r="AK55" s="17"/>
      <c r="AL55" s="42" t="str">
        <f aca="false">IF(SUM(AM55:AR55)&gt;0, 1, "")</f>
        <v/>
      </c>
      <c r="AM55" s="17"/>
      <c r="AN55" s="17"/>
      <c r="AO55" s="17"/>
      <c r="AP55" s="17"/>
      <c r="AQ55" s="17"/>
      <c r="AR55" s="17"/>
      <c r="AS55" s="42" t="str">
        <f aca="false">IF(SUM(AT55:AY55)&gt;0, 1, "")</f>
        <v/>
      </c>
      <c r="AT55" s="17"/>
      <c r="AU55" s="17"/>
      <c r="AV55" s="17"/>
      <c r="AW55" s="17"/>
      <c r="AX55" s="17"/>
      <c r="AY55" s="17"/>
      <c r="AZ55" s="42" t="str">
        <f aca="false">IF(SUM(BA55:BF55)&gt;0, 1, "")</f>
        <v/>
      </c>
      <c r="BA55" s="17"/>
      <c r="BB55" s="17"/>
      <c r="BC55" s="17"/>
      <c r="BD55" s="17"/>
      <c r="BE55" s="17"/>
      <c r="BF55" s="17"/>
      <c r="BG55" s="42" t="str">
        <f aca="false">IF(SUM(BH55:BM55)&gt;0, 1, "")</f>
        <v/>
      </c>
      <c r="BH55" s="17"/>
      <c r="BI55" s="17"/>
      <c r="BJ55" s="17"/>
      <c r="BK55" s="17"/>
      <c r="BL55" s="17"/>
      <c r="BM55" s="17"/>
    </row>
    <row r="56" customFormat="false" ht="15" hidden="false" customHeight="false" outlineLevel="0" collapsed="false">
      <c r="A56" s="17" t="s">
        <v>176</v>
      </c>
      <c r="B56" s="17" t="s">
        <v>177</v>
      </c>
      <c r="C56" s="42" t="str">
        <f aca="false">IF(SUM(D56:I56)&gt;0, 1, "")</f>
        <v/>
      </c>
      <c r="D56" s="17"/>
      <c r="E56" s="17"/>
      <c r="F56" s="17"/>
      <c r="G56" s="17"/>
      <c r="H56" s="17"/>
      <c r="I56" s="17"/>
      <c r="J56" s="42" t="str">
        <f aca="false">IF(SUM(K56:P56)&gt;0, 1, "")</f>
        <v/>
      </c>
      <c r="K56" s="17"/>
      <c r="L56" s="17"/>
      <c r="M56" s="17"/>
      <c r="N56" s="17"/>
      <c r="O56" s="17"/>
      <c r="P56" s="17"/>
      <c r="Q56" s="42" t="str">
        <f aca="false">IF(SUM(R56:W56)&gt;0, 1, "")</f>
        <v/>
      </c>
      <c r="R56" s="17"/>
      <c r="S56" s="17"/>
      <c r="T56" s="17"/>
      <c r="U56" s="17"/>
      <c r="V56" s="17"/>
      <c r="W56" s="17"/>
      <c r="X56" s="42" t="str">
        <f aca="false">IF(SUM(Y56:AD56)&gt;0, 1, "")</f>
        <v/>
      </c>
      <c r="Y56" s="17"/>
      <c r="Z56" s="17"/>
      <c r="AA56" s="17"/>
      <c r="AB56" s="17"/>
      <c r="AC56" s="17"/>
      <c r="AD56" s="17"/>
      <c r="AE56" s="42" t="str">
        <f aca="false">IF(SUM(AF56:AK56)&gt;0, 1, "")</f>
        <v/>
      </c>
      <c r="AF56" s="17"/>
      <c r="AG56" s="17"/>
      <c r="AH56" s="17"/>
      <c r="AI56" s="17"/>
      <c r="AJ56" s="17"/>
      <c r="AK56" s="17"/>
      <c r="AL56" s="42" t="str">
        <f aca="false">IF(SUM(AM56:AR56)&gt;0, 1, "")</f>
        <v/>
      </c>
      <c r="AM56" s="17"/>
      <c r="AN56" s="17"/>
      <c r="AO56" s="17"/>
      <c r="AP56" s="17"/>
      <c r="AQ56" s="17"/>
      <c r="AR56" s="17"/>
      <c r="AS56" s="42" t="str">
        <f aca="false">IF(SUM(AT56:AY56)&gt;0, 1, "")</f>
        <v/>
      </c>
      <c r="AT56" s="17"/>
      <c r="AU56" s="17"/>
      <c r="AV56" s="17"/>
      <c r="AW56" s="17"/>
      <c r="AX56" s="17"/>
      <c r="AY56" s="17"/>
      <c r="AZ56" s="42" t="str">
        <f aca="false">IF(SUM(BA56:BF56)&gt;0, 1, "")</f>
        <v/>
      </c>
      <c r="BA56" s="17"/>
      <c r="BB56" s="17"/>
      <c r="BC56" s="17"/>
      <c r="BD56" s="17"/>
      <c r="BE56" s="17"/>
      <c r="BF56" s="17"/>
      <c r="BG56" s="42" t="str">
        <f aca="false">IF(SUM(BH56:BM56)&gt;0, 1, "")</f>
        <v/>
      </c>
      <c r="BH56" s="17"/>
      <c r="BI56" s="17"/>
      <c r="BJ56" s="17"/>
      <c r="BK56" s="17"/>
      <c r="BL56" s="17"/>
      <c r="BM56" s="17"/>
    </row>
    <row r="57" customFormat="false" ht="15" hidden="false" customHeight="false" outlineLevel="0" collapsed="false">
      <c r="A57" s="17" t="s">
        <v>178</v>
      </c>
      <c r="B57" s="17" t="s">
        <v>179</v>
      </c>
      <c r="C57" s="42" t="str">
        <f aca="false">IF(SUM(D57:I57)&gt;0, 1, "")</f>
        <v/>
      </c>
      <c r="D57" s="17"/>
      <c r="E57" s="17"/>
      <c r="F57" s="17"/>
      <c r="G57" s="17"/>
      <c r="H57" s="17"/>
      <c r="I57" s="17"/>
      <c r="J57" s="42" t="str">
        <f aca="false">IF(SUM(K57:P57)&gt;0, 1, "")</f>
        <v/>
      </c>
      <c r="K57" s="17"/>
      <c r="L57" s="17"/>
      <c r="M57" s="17"/>
      <c r="N57" s="17"/>
      <c r="O57" s="17"/>
      <c r="P57" s="17"/>
      <c r="Q57" s="42" t="str">
        <f aca="false">IF(SUM(R57:W57)&gt;0, 1, "")</f>
        <v/>
      </c>
      <c r="R57" s="17"/>
      <c r="S57" s="17"/>
      <c r="T57" s="17"/>
      <c r="U57" s="17"/>
      <c r="V57" s="17"/>
      <c r="W57" s="17"/>
      <c r="X57" s="42" t="str">
        <f aca="false">IF(SUM(Y57:AD57)&gt;0, 1, "")</f>
        <v/>
      </c>
      <c r="Y57" s="17"/>
      <c r="Z57" s="17"/>
      <c r="AA57" s="17"/>
      <c r="AB57" s="17"/>
      <c r="AC57" s="17"/>
      <c r="AD57" s="17"/>
      <c r="AE57" s="42" t="str">
        <f aca="false">IF(SUM(AF57:AK57)&gt;0, 1, "")</f>
        <v/>
      </c>
      <c r="AF57" s="17"/>
      <c r="AG57" s="17"/>
      <c r="AH57" s="17"/>
      <c r="AI57" s="17"/>
      <c r="AJ57" s="17"/>
      <c r="AK57" s="17"/>
      <c r="AL57" s="42" t="str">
        <f aca="false">IF(SUM(AM57:AR57)&gt;0, 1, "")</f>
        <v/>
      </c>
      <c r="AM57" s="17"/>
      <c r="AN57" s="17"/>
      <c r="AO57" s="17"/>
      <c r="AP57" s="17"/>
      <c r="AQ57" s="17"/>
      <c r="AR57" s="17"/>
      <c r="AS57" s="42" t="str">
        <f aca="false">IF(SUM(AT57:AY57)&gt;0, 1, "")</f>
        <v/>
      </c>
      <c r="AT57" s="17"/>
      <c r="AU57" s="17"/>
      <c r="AV57" s="17"/>
      <c r="AW57" s="17"/>
      <c r="AX57" s="17"/>
      <c r="AY57" s="17"/>
      <c r="AZ57" s="42" t="str">
        <f aca="false">IF(SUM(BA57:BF57)&gt;0, 1, "")</f>
        <v/>
      </c>
      <c r="BA57" s="17"/>
      <c r="BB57" s="17"/>
      <c r="BC57" s="17"/>
      <c r="BD57" s="17"/>
      <c r="BE57" s="17"/>
      <c r="BF57" s="17"/>
      <c r="BG57" s="42" t="str">
        <f aca="false">IF(SUM(BH57:BM57)&gt;0, 1, "")</f>
        <v/>
      </c>
      <c r="BH57" s="17"/>
      <c r="BI57" s="17"/>
      <c r="BJ57" s="17"/>
      <c r="BK57" s="17"/>
      <c r="BL57" s="17"/>
      <c r="BM57" s="17"/>
    </row>
    <row r="58" customFormat="false" ht="15" hidden="false" customHeight="false" outlineLevel="0" collapsed="false">
      <c r="A58" s="17" t="s">
        <v>180</v>
      </c>
      <c r="B58" s="17" t="s">
        <v>181</v>
      </c>
      <c r="C58" s="42" t="str">
        <f aca="false">IF(SUM(D58:I58)&gt;0, 1, "")</f>
        <v/>
      </c>
      <c r="D58" s="17"/>
      <c r="E58" s="17"/>
      <c r="F58" s="17"/>
      <c r="G58" s="17"/>
      <c r="H58" s="17"/>
      <c r="I58" s="17"/>
      <c r="J58" s="42" t="str">
        <f aca="false">IF(SUM(K58:P58)&gt;0, 1, "")</f>
        <v/>
      </c>
      <c r="K58" s="17"/>
      <c r="L58" s="17"/>
      <c r="M58" s="17"/>
      <c r="N58" s="17"/>
      <c r="O58" s="17"/>
      <c r="P58" s="17"/>
      <c r="Q58" s="42" t="str">
        <f aca="false">IF(SUM(R58:W58)&gt;0, 1, "")</f>
        <v/>
      </c>
      <c r="R58" s="17"/>
      <c r="S58" s="17"/>
      <c r="T58" s="17"/>
      <c r="U58" s="17"/>
      <c r="V58" s="17"/>
      <c r="W58" s="17"/>
      <c r="X58" s="42" t="str">
        <f aca="false">IF(SUM(Y58:AD58)&gt;0, 1, "")</f>
        <v/>
      </c>
      <c r="Y58" s="17"/>
      <c r="Z58" s="17"/>
      <c r="AA58" s="17"/>
      <c r="AB58" s="17"/>
      <c r="AC58" s="17"/>
      <c r="AD58" s="17"/>
      <c r="AE58" s="42" t="str">
        <f aca="false">IF(SUM(AF58:AK58)&gt;0, 1, "")</f>
        <v/>
      </c>
      <c r="AF58" s="17"/>
      <c r="AG58" s="17"/>
      <c r="AH58" s="17"/>
      <c r="AI58" s="17"/>
      <c r="AJ58" s="17"/>
      <c r="AK58" s="17"/>
      <c r="AL58" s="42" t="str">
        <f aca="false">IF(SUM(AM58:AR58)&gt;0, 1, "")</f>
        <v/>
      </c>
      <c r="AM58" s="17"/>
      <c r="AN58" s="17"/>
      <c r="AO58" s="17"/>
      <c r="AP58" s="17"/>
      <c r="AQ58" s="17"/>
      <c r="AR58" s="17"/>
      <c r="AS58" s="42" t="str">
        <f aca="false">IF(SUM(AT58:AY58)&gt;0, 1, "")</f>
        <v/>
      </c>
      <c r="AT58" s="17"/>
      <c r="AU58" s="17"/>
      <c r="AV58" s="17"/>
      <c r="AW58" s="17"/>
      <c r="AX58" s="17"/>
      <c r="AY58" s="17"/>
      <c r="AZ58" s="42" t="str">
        <f aca="false">IF(SUM(BA58:BF58)&gt;0, 1, "")</f>
        <v/>
      </c>
      <c r="BA58" s="17"/>
      <c r="BB58" s="17"/>
      <c r="BC58" s="17"/>
      <c r="BD58" s="17"/>
      <c r="BE58" s="17"/>
      <c r="BF58" s="17"/>
      <c r="BG58" s="42" t="str">
        <f aca="false">IF(SUM(BH58:BM58)&gt;0, 1, "")</f>
        <v/>
      </c>
      <c r="BH58" s="17"/>
      <c r="BI58" s="17"/>
      <c r="BJ58" s="17"/>
      <c r="BK58" s="17"/>
      <c r="BL58" s="17"/>
      <c r="BM58" s="17"/>
    </row>
    <row r="59" customFormat="false" ht="15" hidden="false" customHeight="false" outlineLevel="0" collapsed="false">
      <c r="A59" s="17" t="s">
        <v>182</v>
      </c>
      <c r="B59" s="17" t="s">
        <v>183</v>
      </c>
      <c r="C59" s="42" t="str">
        <f aca="false">IF(SUM(D59:I59)&gt;0, 1, "")</f>
        <v/>
      </c>
      <c r="D59" s="17"/>
      <c r="E59" s="17"/>
      <c r="F59" s="17"/>
      <c r="G59" s="17"/>
      <c r="H59" s="17"/>
      <c r="I59" s="17"/>
      <c r="J59" s="42" t="str">
        <f aca="false">IF(SUM(K59:P59)&gt;0, 1, "")</f>
        <v/>
      </c>
      <c r="K59" s="17"/>
      <c r="L59" s="17"/>
      <c r="M59" s="17"/>
      <c r="N59" s="17"/>
      <c r="O59" s="17"/>
      <c r="P59" s="17"/>
      <c r="Q59" s="42" t="str">
        <f aca="false">IF(SUM(R59:W59)&gt;0, 1, "")</f>
        <v/>
      </c>
      <c r="R59" s="17"/>
      <c r="S59" s="17"/>
      <c r="T59" s="17"/>
      <c r="U59" s="17"/>
      <c r="V59" s="17"/>
      <c r="W59" s="17"/>
      <c r="X59" s="42" t="str">
        <f aca="false">IF(SUM(Y59:AD59)&gt;0, 1, "")</f>
        <v/>
      </c>
      <c r="Y59" s="17"/>
      <c r="Z59" s="17"/>
      <c r="AA59" s="17"/>
      <c r="AB59" s="17"/>
      <c r="AC59" s="17"/>
      <c r="AD59" s="17"/>
      <c r="AE59" s="42" t="str">
        <f aca="false">IF(SUM(AF59:AK59)&gt;0, 1, "")</f>
        <v/>
      </c>
      <c r="AF59" s="17"/>
      <c r="AG59" s="17"/>
      <c r="AH59" s="17"/>
      <c r="AI59" s="17"/>
      <c r="AJ59" s="17"/>
      <c r="AK59" s="17"/>
      <c r="AL59" s="42" t="str">
        <f aca="false">IF(SUM(AM59:AR59)&gt;0, 1, "")</f>
        <v/>
      </c>
      <c r="AM59" s="17"/>
      <c r="AN59" s="17"/>
      <c r="AO59" s="17"/>
      <c r="AP59" s="17"/>
      <c r="AQ59" s="17"/>
      <c r="AR59" s="17"/>
      <c r="AS59" s="42" t="str">
        <f aca="false">IF(SUM(AT59:AY59)&gt;0, 1, "")</f>
        <v/>
      </c>
      <c r="AT59" s="17"/>
      <c r="AU59" s="17"/>
      <c r="AV59" s="17"/>
      <c r="AW59" s="17"/>
      <c r="AX59" s="17"/>
      <c r="AY59" s="17"/>
      <c r="AZ59" s="42" t="str">
        <f aca="false">IF(SUM(BA59:BF59)&gt;0, 1, "")</f>
        <v/>
      </c>
      <c r="BA59" s="17"/>
      <c r="BB59" s="17"/>
      <c r="BC59" s="17"/>
      <c r="BD59" s="17"/>
      <c r="BE59" s="17"/>
      <c r="BF59" s="17"/>
      <c r="BG59" s="42" t="str">
        <f aca="false">IF(SUM(BH59:BM59)&gt;0, 1, "")</f>
        <v/>
      </c>
      <c r="BH59" s="17"/>
      <c r="BI59" s="17"/>
      <c r="BJ59" s="17"/>
      <c r="BK59" s="17"/>
      <c r="BL59" s="17"/>
      <c r="BM59" s="17"/>
    </row>
    <row r="60" customFormat="false" ht="15" hidden="false" customHeight="false" outlineLevel="0" collapsed="false">
      <c r="A60" s="17" t="s">
        <v>184</v>
      </c>
      <c r="B60" s="17" t="s">
        <v>185</v>
      </c>
      <c r="C60" s="42" t="str">
        <f aca="false">IF(SUM(D60:I60)&gt;0, 1, "")</f>
        <v/>
      </c>
      <c r="D60" s="17"/>
      <c r="E60" s="17"/>
      <c r="F60" s="17"/>
      <c r="G60" s="17"/>
      <c r="H60" s="17"/>
      <c r="I60" s="17"/>
      <c r="J60" s="42" t="str">
        <f aca="false">IF(SUM(K60:P60)&gt;0, 1, "")</f>
        <v/>
      </c>
      <c r="K60" s="17"/>
      <c r="L60" s="17"/>
      <c r="M60" s="17"/>
      <c r="N60" s="17"/>
      <c r="O60" s="17"/>
      <c r="P60" s="17"/>
      <c r="Q60" s="42" t="str">
        <f aca="false">IF(SUM(R60:W60)&gt;0, 1, "")</f>
        <v/>
      </c>
      <c r="R60" s="17"/>
      <c r="S60" s="17"/>
      <c r="T60" s="17"/>
      <c r="U60" s="17"/>
      <c r="V60" s="17"/>
      <c r="W60" s="17"/>
      <c r="X60" s="42" t="str">
        <f aca="false">IF(SUM(Y60:AD60)&gt;0, 1, "")</f>
        <v/>
      </c>
      <c r="Y60" s="17"/>
      <c r="Z60" s="17"/>
      <c r="AA60" s="17"/>
      <c r="AB60" s="17"/>
      <c r="AC60" s="17"/>
      <c r="AD60" s="17"/>
      <c r="AE60" s="42" t="str">
        <f aca="false">IF(SUM(AF60:AK60)&gt;0, 1, "")</f>
        <v/>
      </c>
      <c r="AF60" s="17"/>
      <c r="AG60" s="17"/>
      <c r="AH60" s="17"/>
      <c r="AI60" s="17"/>
      <c r="AJ60" s="17"/>
      <c r="AK60" s="17"/>
      <c r="AL60" s="42" t="str">
        <f aca="false">IF(SUM(AM60:AR60)&gt;0, 1, "")</f>
        <v/>
      </c>
      <c r="AM60" s="17"/>
      <c r="AN60" s="17"/>
      <c r="AO60" s="17"/>
      <c r="AP60" s="17"/>
      <c r="AQ60" s="17"/>
      <c r="AR60" s="17"/>
      <c r="AS60" s="42" t="str">
        <f aca="false">IF(SUM(AT60:AY60)&gt;0, 1, "")</f>
        <v/>
      </c>
      <c r="AT60" s="17"/>
      <c r="AU60" s="17"/>
      <c r="AV60" s="17"/>
      <c r="AW60" s="17"/>
      <c r="AX60" s="17"/>
      <c r="AY60" s="17"/>
      <c r="AZ60" s="42" t="str">
        <f aca="false">IF(SUM(BA60:BF60)&gt;0, 1, "")</f>
        <v/>
      </c>
      <c r="BA60" s="17"/>
      <c r="BB60" s="17"/>
      <c r="BC60" s="17"/>
      <c r="BD60" s="17"/>
      <c r="BE60" s="17"/>
      <c r="BF60" s="17"/>
      <c r="BG60" s="42" t="str">
        <f aca="false">IF(SUM(BH60:BM60)&gt;0, 1, "")</f>
        <v/>
      </c>
      <c r="BH60" s="17"/>
      <c r="BI60" s="17"/>
      <c r="BJ60" s="17"/>
      <c r="BK60" s="17"/>
      <c r="BL60" s="17"/>
      <c r="BM60" s="17"/>
    </row>
    <row r="61" customFormat="false" ht="15" hidden="false" customHeight="false" outlineLevel="0" collapsed="false">
      <c r="A61" s="17" t="s">
        <v>186</v>
      </c>
      <c r="B61" s="17" t="s">
        <v>187</v>
      </c>
      <c r="C61" s="42" t="str">
        <f aca="false">IF(SUM(D61:I61)&gt;0, 1, "")</f>
        <v/>
      </c>
      <c r="D61" s="17"/>
      <c r="E61" s="17"/>
      <c r="F61" s="17"/>
      <c r="G61" s="17"/>
      <c r="H61" s="17"/>
      <c r="I61" s="17"/>
      <c r="J61" s="42" t="str">
        <f aca="false">IF(SUM(K61:P61)&gt;0, 1, "")</f>
        <v/>
      </c>
      <c r="K61" s="17"/>
      <c r="L61" s="17"/>
      <c r="M61" s="17"/>
      <c r="N61" s="17"/>
      <c r="O61" s="17"/>
      <c r="P61" s="17"/>
      <c r="Q61" s="42" t="str">
        <f aca="false">IF(SUM(R61:W61)&gt;0, 1, "")</f>
        <v/>
      </c>
      <c r="R61" s="17"/>
      <c r="S61" s="17"/>
      <c r="T61" s="17"/>
      <c r="U61" s="17"/>
      <c r="V61" s="17"/>
      <c r="W61" s="17"/>
      <c r="X61" s="42" t="str">
        <f aca="false">IF(SUM(Y61:AD61)&gt;0, 1, "")</f>
        <v/>
      </c>
      <c r="Y61" s="17"/>
      <c r="Z61" s="17"/>
      <c r="AA61" s="17"/>
      <c r="AB61" s="17"/>
      <c r="AC61" s="17"/>
      <c r="AD61" s="17"/>
      <c r="AE61" s="42" t="str">
        <f aca="false">IF(SUM(AF61:AK61)&gt;0, 1, "")</f>
        <v/>
      </c>
      <c r="AF61" s="17"/>
      <c r="AG61" s="17"/>
      <c r="AH61" s="17"/>
      <c r="AI61" s="17"/>
      <c r="AJ61" s="17"/>
      <c r="AK61" s="17"/>
      <c r="AL61" s="42" t="str">
        <f aca="false">IF(SUM(AM61:AR61)&gt;0, 1, "")</f>
        <v/>
      </c>
      <c r="AM61" s="17"/>
      <c r="AN61" s="17"/>
      <c r="AO61" s="17"/>
      <c r="AP61" s="17"/>
      <c r="AQ61" s="17"/>
      <c r="AR61" s="17"/>
      <c r="AS61" s="42" t="str">
        <f aca="false">IF(SUM(AT61:AY61)&gt;0, 1, "")</f>
        <v/>
      </c>
      <c r="AT61" s="17"/>
      <c r="AU61" s="17"/>
      <c r="AV61" s="17"/>
      <c r="AW61" s="17"/>
      <c r="AX61" s="17"/>
      <c r="AY61" s="17"/>
      <c r="AZ61" s="42" t="str">
        <f aca="false">IF(SUM(BA61:BF61)&gt;0, 1, "")</f>
        <v/>
      </c>
      <c r="BA61" s="17"/>
      <c r="BB61" s="17"/>
      <c r="BC61" s="17"/>
      <c r="BD61" s="17"/>
      <c r="BE61" s="17"/>
      <c r="BF61" s="17"/>
      <c r="BG61" s="42" t="str">
        <f aca="false">IF(SUM(BH61:BM61)&gt;0, 1, "")</f>
        <v/>
      </c>
      <c r="BH61" s="17"/>
      <c r="BI61" s="17"/>
      <c r="BJ61" s="17"/>
      <c r="BK61" s="17"/>
      <c r="BL61" s="17"/>
      <c r="BM61" s="17"/>
    </row>
    <row r="62" customFormat="false" ht="15" hidden="false" customHeight="false" outlineLevel="0" collapsed="false">
      <c r="A62" s="17" t="s">
        <v>188</v>
      </c>
      <c r="B62" s="17" t="s">
        <v>189</v>
      </c>
      <c r="C62" s="42" t="str">
        <f aca="false">IF(SUM(D62:I62)&gt;0, 1, "")</f>
        <v/>
      </c>
      <c r="D62" s="17"/>
      <c r="E62" s="17"/>
      <c r="F62" s="17"/>
      <c r="G62" s="17"/>
      <c r="H62" s="17"/>
      <c r="I62" s="17"/>
      <c r="J62" s="42" t="str">
        <f aca="false">IF(SUM(K62:P62)&gt;0, 1, "")</f>
        <v/>
      </c>
      <c r="K62" s="17"/>
      <c r="L62" s="17"/>
      <c r="M62" s="17"/>
      <c r="N62" s="17"/>
      <c r="O62" s="17"/>
      <c r="P62" s="17"/>
      <c r="Q62" s="42" t="str">
        <f aca="false">IF(SUM(R62:W62)&gt;0, 1, "")</f>
        <v/>
      </c>
      <c r="R62" s="17"/>
      <c r="S62" s="17"/>
      <c r="T62" s="17"/>
      <c r="U62" s="17"/>
      <c r="V62" s="17"/>
      <c r="W62" s="17"/>
      <c r="X62" s="42" t="str">
        <f aca="false">IF(SUM(Y62:AD62)&gt;0, 1, "")</f>
        <v/>
      </c>
      <c r="Y62" s="17"/>
      <c r="Z62" s="17"/>
      <c r="AA62" s="17"/>
      <c r="AB62" s="17"/>
      <c r="AC62" s="17"/>
      <c r="AD62" s="17"/>
      <c r="AE62" s="42" t="str">
        <f aca="false">IF(SUM(AF62:AK62)&gt;0, 1, "")</f>
        <v/>
      </c>
      <c r="AF62" s="17"/>
      <c r="AG62" s="17"/>
      <c r="AH62" s="17"/>
      <c r="AI62" s="17"/>
      <c r="AJ62" s="17"/>
      <c r="AK62" s="17"/>
      <c r="AL62" s="42" t="str">
        <f aca="false">IF(SUM(AM62:AR62)&gt;0, 1, "")</f>
        <v/>
      </c>
      <c r="AM62" s="17"/>
      <c r="AN62" s="17"/>
      <c r="AO62" s="17"/>
      <c r="AP62" s="17"/>
      <c r="AQ62" s="17"/>
      <c r="AR62" s="17"/>
      <c r="AS62" s="42" t="str">
        <f aca="false">IF(SUM(AT62:AY62)&gt;0, 1, "")</f>
        <v/>
      </c>
      <c r="AT62" s="17"/>
      <c r="AU62" s="17"/>
      <c r="AV62" s="17"/>
      <c r="AW62" s="17"/>
      <c r="AX62" s="17"/>
      <c r="AY62" s="17"/>
      <c r="AZ62" s="42" t="str">
        <f aca="false">IF(SUM(BA62:BF62)&gt;0, 1, "")</f>
        <v/>
      </c>
      <c r="BA62" s="17"/>
      <c r="BB62" s="17"/>
      <c r="BC62" s="17"/>
      <c r="BD62" s="17"/>
      <c r="BE62" s="17"/>
      <c r="BF62" s="17"/>
      <c r="BG62" s="42" t="str">
        <f aca="false">IF(SUM(BH62:BM62)&gt;0, 1, "")</f>
        <v/>
      </c>
      <c r="BH62" s="17"/>
      <c r="BI62" s="17"/>
      <c r="BJ62" s="17"/>
      <c r="BK62" s="17"/>
      <c r="BL62" s="17"/>
      <c r="BM62" s="17"/>
    </row>
    <row r="63" customFormat="false" ht="15" hidden="false" customHeight="false" outlineLevel="0" collapsed="false">
      <c r="A63" s="17" t="s">
        <v>190</v>
      </c>
      <c r="B63" s="17" t="s">
        <v>191</v>
      </c>
      <c r="C63" s="42" t="str">
        <f aca="false">IF(SUM(D63:I63)&gt;0, 1, "")</f>
        <v/>
      </c>
      <c r="D63" s="17"/>
      <c r="E63" s="17"/>
      <c r="F63" s="17"/>
      <c r="G63" s="17"/>
      <c r="H63" s="17"/>
      <c r="I63" s="17"/>
      <c r="J63" s="42" t="str">
        <f aca="false">IF(SUM(K63:P63)&gt;0, 1, "")</f>
        <v/>
      </c>
      <c r="K63" s="17"/>
      <c r="L63" s="17"/>
      <c r="M63" s="17"/>
      <c r="N63" s="17"/>
      <c r="O63" s="17"/>
      <c r="P63" s="17"/>
      <c r="Q63" s="42" t="str">
        <f aca="false">IF(SUM(R63:W63)&gt;0, 1, "")</f>
        <v/>
      </c>
      <c r="R63" s="17"/>
      <c r="S63" s="17"/>
      <c r="T63" s="17"/>
      <c r="U63" s="17"/>
      <c r="V63" s="17"/>
      <c r="W63" s="17"/>
      <c r="X63" s="42" t="str">
        <f aca="false">IF(SUM(Y63:AD63)&gt;0, 1, "")</f>
        <v/>
      </c>
      <c r="Y63" s="17"/>
      <c r="Z63" s="17"/>
      <c r="AA63" s="17"/>
      <c r="AB63" s="17"/>
      <c r="AC63" s="17"/>
      <c r="AD63" s="17"/>
      <c r="AE63" s="42" t="str">
        <f aca="false">IF(SUM(AF63:AK63)&gt;0, 1, "")</f>
        <v/>
      </c>
      <c r="AF63" s="17"/>
      <c r="AG63" s="17"/>
      <c r="AH63" s="17"/>
      <c r="AI63" s="17"/>
      <c r="AJ63" s="17"/>
      <c r="AK63" s="17"/>
      <c r="AL63" s="42" t="str">
        <f aca="false">IF(SUM(AM63:AR63)&gt;0, 1, "")</f>
        <v/>
      </c>
      <c r="AM63" s="17"/>
      <c r="AN63" s="17"/>
      <c r="AO63" s="17"/>
      <c r="AP63" s="17"/>
      <c r="AQ63" s="17"/>
      <c r="AR63" s="17"/>
      <c r="AS63" s="42" t="str">
        <f aca="false">IF(SUM(AT63:AY63)&gt;0, 1, "")</f>
        <v/>
      </c>
      <c r="AT63" s="17"/>
      <c r="AU63" s="17"/>
      <c r="AV63" s="17"/>
      <c r="AW63" s="17"/>
      <c r="AX63" s="17"/>
      <c r="AY63" s="17"/>
      <c r="AZ63" s="42" t="str">
        <f aca="false">IF(SUM(BA63:BF63)&gt;0, 1, "")</f>
        <v/>
      </c>
      <c r="BA63" s="17"/>
      <c r="BB63" s="17"/>
      <c r="BC63" s="17"/>
      <c r="BD63" s="17"/>
      <c r="BE63" s="17"/>
      <c r="BF63" s="17"/>
      <c r="BG63" s="42" t="str">
        <f aca="false">IF(SUM(BH63:BM63)&gt;0, 1, "")</f>
        <v/>
      </c>
      <c r="BH63" s="17"/>
      <c r="BI63" s="17"/>
      <c r="BJ63" s="17"/>
      <c r="BK63" s="17"/>
      <c r="BL63" s="17"/>
      <c r="BM63" s="17"/>
    </row>
    <row r="64" customFormat="false" ht="15" hidden="false" customHeight="false" outlineLevel="0" collapsed="false">
      <c r="A64" s="17" t="s">
        <v>192</v>
      </c>
      <c r="B64" s="17" t="s">
        <v>193</v>
      </c>
      <c r="C64" s="42" t="str">
        <f aca="false">IF(SUM(D64:I64)&gt;0, 1, "")</f>
        <v/>
      </c>
      <c r="D64" s="17"/>
      <c r="E64" s="17"/>
      <c r="F64" s="17"/>
      <c r="G64" s="17"/>
      <c r="H64" s="17"/>
      <c r="I64" s="17"/>
      <c r="J64" s="42" t="str">
        <f aca="false">IF(SUM(K64:P64)&gt;0, 1, "")</f>
        <v/>
      </c>
      <c r="K64" s="17"/>
      <c r="L64" s="17"/>
      <c r="M64" s="17"/>
      <c r="N64" s="17"/>
      <c r="O64" s="17"/>
      <c r="P64" s="17"/>
      <c r="Q64" s="42" t="str">
        <f aca="false">IF(SUM(R64:W64)&gt;0, 1, "")</f>
        <v/>
      </c>
      <c r="R64" s="17"/>
      <c r="S64" s="17"/>
      <c r="T64" s="17"/>
      <c r="U64" s="17"/>
      <c r="V64" s="17"/>
      <c r="W64" s="17"/>
      <c r="X64" s="42" t="str">
        <f aca="false">IF(SUM(Y64:AD64)&gt;0, 1, "")</f>
        <v/>
      </c>
      <c r="Y64" s="17"/>
      <c r="Z64" s="17"/>
      <c r="AA64" s="17"/>
      <c r="AB64" s="17"/>
      <c r="AC64" s="17"/>
      <c r="AD64" s="17"/>
      <c r="AE64" s="42" t="str">
        <f aca="false">IF(SUM(AF64:AK64)&gt;0, 1, "")</f>
        <v/>
      </c>
      <c r="AF64" s="17"/>
      <c r="AJ64" s="17"/>
      <c r="AK64" s="17"/>
      <c r="AL64" s="42" t="str">
        <f aca="false">IF(SUM(AM64:AR64)&gt;0, 1, "")</f>
        <v/>
      </c>
      <c r="AM64" s="17"/>
      <c r="AN64" s="17"/>
      <c r="AO64" s="17"/>
      <c r="AP64" s="17"/>
      <c r="AQ64" s="17"/>
      <c r="AR64" s="17"/>
      <c r="AS64" s="42" t="str">
        <f aca="false">IF(SUM(AT64:AY64)&gt;0, 1, "")</f>
        <v/>
      </c>
      <c r="AT64" s="17"/>
      <c r="AU64" s="17"/>
      <c r="AV64" s="17"/>
      <c r="AW64" s="17"/>
      <c r="AX64" s="17"/>
      <c r="AZ64" s="42" t="str">
        <f aca="false">IF(SUM(BA64:BF64)&gt;0, 1, "")</f>
        <v/>
      </c>
      <c r="BB64" s="17"/>
      <c r="BC64" s="17"/>
      <c r="BD64" s="17"/>
      <c r="BE64" s="17"/>
      <c r="BF64" s="17"/>
      <c r="BG64" s="42" t="str">
        <f aca="false">IF(SUM(BH64:BM64)&gt;0, 1, "")</f>
        <v/>
      </c>
      <c r="BH64" s="17"/>
      <c r="BI64" s="17"/>
      <c r="BJ64" s="17"/>
      <c r="BK64" s="17"/>
      <c r="BL64" s="17"/>
      <c r="BM64" s="17"/>
    </row>
    <row r="65" customFormat="false" ht="15" hidden="false" customHeight="false" outlineLevel="0" collapsed="false">
      <c r="A65" s="17" t="s">
        <v>194</v>
      </c>
      <c r="B65" s="17" t="s">
        <v>195</v>
      </c>
      <c r="C65" s="42" t="str">
        <f aca="false">IF(SUM(D65:I65)&gt;0, 1, "")</f>
        <v/>
      </c>
      <c r="D65" s="17"/>
      <c r="E65" s="17"/>
      <c r="F65" s="17"/>
      <c r="G65" s="17"/>
      <c r="H65" s="17"/>
      <c r="I65" s="17"/>
      <c r="J65" s="42" t="str">
        <f aca="false">IF(SUM(K65:P65)&gt;0, 1, "")</f>
        <v/>
      </c>
      <c r="K65" s="17"/>
      <c r="L65" s="17"/>
      <c r="M65" s="17"/>
      <c r="N65" s="17"/>
      <c r="O65" s="17"/>
      <c r="P65" s="17"/>
      <c r="Q65" s="42" t="str">
        <f aca="false">IF(SUM(R65:W65)&gt;0, 1, "")</f>
        <v/>
      </c>
      <c r="R65" s="17"/>
      <c r="S65" s="17"/>
      <c r="T65" s="17"/>
      <c r="U65" s="17"/>
      <c r="V65" s="17"/>
      <c r="W65" s="17"/>
      <c r="X65" s="42" t="str">
        <f aca="false">IF(SUM(Y65:AD65)&gt;0, 1, "")</f>
        <v/>
      </c>
      <c r="Y65" s="17"/>
      <c r="Z65" s="17"/>
      <c r="AA65" s="17"/>
      <c r="AB65" s="17"/>
      <c r="AC65" s="17"/>
      <c r="AD65" s="17"/>
      <c r="AE65" s="42" t="str">
        <f aca="false">IF(SUM(AF65:AK65)&gt;0, 1, "")</f>
        <v/>
      </c>
      <c r="AF65" s="17"/>
      <c r="AG65" s="17"/>
      <c r="AH65" s="17"/>
      <c r="AI65" s="17"/>
      <c r="AJ65" s="17"/>
      <c r="AK65" s="17"/>
      <c r="AL65" s="42" t="str">
        <f aca="false">IF(SUM(AM65:AR65)&gt;0, 1, "")</f>
        <v/>
      </c>
      <c r="AM65" s="17"/>
      <c r="AN65" s="17"/>
      <c r="AO65" s="17"/>
      <c r="AP65" s="17"/>
      <c r="AQ65" s="17"/>
      <c r="AR65" s="17"/>
      <c r="AS65" s="42" t="str">
        <f aca="false">IF(SUM(AT65:AY65)&gt;0, 1, "")</f>
        <v/>
      </c>
      <c r="AT65" s="17"/>
      <c r="AU65" s="17"/>
      <c r="AV65" s="17"/>
      <c r="AW65" s="17"/>
      <c r="AX65" s="17"/>
      <c r="AY65" s="17"/>
      <c r="AZ65" s="42" t="str">
        <f aca="false">IF(SUM(BA65:BF65)&gt;0, 1, "")</f>
        <v/>
      </c>
      <c r="BA65" s="17"/>
      <c r="BB65" s="17"/>
      <c r="BC65" s="17"/>
      <c r="BD65" s="17"/>
      <c r="BE65" s="17"/>
      <c r="BF65" s="17"/>
      <c r="BG65" s="42" t="str">
        <f aca="false">IF(SUM(BH65:BM65)&gt;0, 1, "")</f>
        <v/>
      </c>
      <c r="BH65" s="17"/>
      <c r="BI65" s="17"/>
      <c r="BJ65" s="17"/>
      <c r="BK65" s="17"/>
      <c r="BL65" s="17"/>
      <c r="BM65" s="17"/>
    </row>
    <row r="66" customFormat="false" ht="15" hidden="false" customHeight="false" outlineLevel="0" collapsed="false">
      <c r="A66" s="17" t="s">
        <v>196</v>
      </c>
      <c r="B66" s="17" t="s">
        <v>197</v>
      </c>
      <c r="C66" s="42" t="str">
        <f aca="false">IF(SUM(D66:I66)&gt;0, 1, "")</f>
        <v/>
      </c>
      <c r="D66" s="17"/>
      <c r="E66" s="17"/>
      <c r="F66" s="17"/>
      <c r="G66" s="17"/>
      <c r="H66" s="17"/>
      <c r="I66" s="17"/>
      <c r="J66" s="42" t="str">
        <f aca="false">IF(SUM(K66:P66)&gt;0, 1, "")</f>
        <v/>
      </c>
      <c r="K66" s="17"/>
      <c r="L66" s="17"/>
      <c r="M66" s="17"/>
      <c r="N66" s="17"/>
      <c r="O66" s="17"/>
      <c r="P66" s="17"/>
      <c r="Q66" s="42" t="str">
        <f aca="false">IF(SUM(R66:W66)&gt;0, 1, "")</f>
        <v/>
      </c>
      <c r="R66" s="17"/>
      <c r="S66" s="17"/>
      <c r="T66" s="17"/>
      <c r="U66" s="17"/>
      <c r="V66" s="17"/>
      <c r="W66" s="17"/>
      <c r="X66" s="42" t="str">
        <f aca="false">IF(SUM(Y66:AD66)&gt;0, 1, "")</f>
        <v/>
      </c>
      <c r="Y66" s="17"/>
      <c r="Z66" s="17"/>
      <c r="AA66" s="17"/>
      <c r="AB66" s="17"/>
      <c r="AC66" s="17"/>
      <c r="AD66" s="17"/>
      <c r="AE66" s="42" t="str">
        <f aca="false">IF(SUM(AF66:AK66)&gt;0, 1, "")</f>
        <v/>
      </c>
      <c r="AF66" s="17"/>
      <c r="AG66" s="17"/>
      <c r="AH66" s="17"/>
      <c r="AI66" s="17"/>
      <c r="AJ66" s="17"/>
      <c r="AK66" s="17"/>
      <c r="AL66" s="42" t="str">
        <f aca="false">IF(SUM(AM66:AR66)&gt;0, 1, "")</f>
        <v/>
      </c>
      <c r="AM66" s="17"/>
      <c r="AN66" s="17"/>
      <c r="AO66" s="17"/>
      <c r="AP66" s="17"/>
      <c r="AQ66" s="17"/>
      <c r="AR66" s="17"/>
      <c r="AS66" s="42" t="str">
        <f aca="false">IF(SUM(AT66:AY66)&gt;0, 1, "")</f>
        <v/>
      </c>
      <c r="AT66" s="17"/>
      <c r="AU66" s="17"/>
      <c r="AV66" s="17"/>
      <c r="AW66" s="17"/>
      <c r="AX66" s="17"/>
      <c r="AY66" s="17"/>
      <c r="AZ66" s="42" t="str">
        <f aca="false">IF(SUM(BA66:BF66)&gt;0, 1, "")</f>
        <v/>
      </c>
      <c r="BA66" s="17"/>
      <c r="BB66" s="17"/>
      <c r="BC66" s="17"/>
      <c r="BD66" s="17"/>
      <c r="BE66" s="17"/>
      <c r="BF66" s="17"/>
      <c r="BG66" s="42" t="str">
        <f aca="false">IF(SUM(BH66:BM66)&gt;0, 1, "")</f>
        <v/>
      </c>
      <c r="BH66" s="17"/>
      <c r="BI66" s="17"/>
      <c r="BJ66" s="17"/>
      <c r="BK66" s="17"/>
      <c r="BL66" s="17"/>
      <c r="BM66" s="17"/>
    </row>
    <row r="67" customFormat="false" ht="15" hidden="false" customHeight="false" outlineLevel="0" collapsed="false">
      <c r="A67" s="17" t="s">
        <v>198</v>
      </c>
      <c r="B67" s="17" t="s">
        <v>199</v>
      </c>
      <c r="C67" s="42" t="str">
        <f aca="false">IF(SUM(D67:I67)&gt;0, 1, "")</f>
        <v/>
      </c>
      <c r="D67" s="17"/>
      <c r="E67" s="17"/>
      <c r="F67" s="17"/>
      <c r="G67" s="17"/>
      <c r="H67" s="17"/>
      <c r="I67" s="17"/>
      <c r="J67" s="42" t="str">
        <f aca="false">IF(SUM(K67:P67)&gt;0, 1, "")</f>
        <v/>
      </c>
      <c r="K67" s="17"/>
      <c r="L67" s="17"/>
      <c r="M67" s="17"/>
      <c r="N67" s="17"/>
      <c r="O67" s="17"/>
      <c r="P67" s="17"/>
      <c r="Q67" s="42" t="str">
        <f aca="false">IF(SUM(R67:W67)&gt;0, 1, "")</f>
        <v/>
      </c>
      <c r="R67" s="17"/>
      <c r="S67" s="17"/>
      <c r="T67" s="17"/>
      <c r="U67" s="17"/>
      <c r="V67" s="17"/>
      <c r="W67" s="17"/>
      <c r="X67" s="42" t="str">
        <f aca="false">IF(SUM(Y67:AD67)&gt;0, 1, "")</f>
        <v/>
      </c>
      <c r="Y67" s="17"/>
      <c r="Z67" s="17"/>
      <c r="AA67" s="17"/>
      <c r="AB67" s="17"/>
      <c r="AC67" s="17"/>
      <c r="AD67" s="17"/>
      <c r="AE67" s="42" t="str">
        <f aca="false">IF(SUM(AF67:AK67)&gt;0, 1, "")</f>
        <v/>
      </c>
      <c r="AF67" s="17"/>
      <c r="AJ67" s="17"/>
      <c r="AK67" s="17"/>
      <c r="AL67" s="42" t="str">
        <f aca="false">IF(SUM(AM67:AR67)&gt;0, 1, "")</f>
        <v/>
      </c>
      <c r="AM67" s="17"/>
      <c r="AN67" s="17"/>
      <c r="AO67" s="17"/>
      <c r="AP67" s="17"/>
      <c r="AQ67" s="17"/>
      <c r="AR67" s="17"/>
      <c r="AS67" s="42" t="str">
        <f aca="false">IF(SUM(AT67:AY67)&gt;0, 1, "")</f>
        <v/>
      </c>
      <c r="AT67" s="17"/>
      <c r="AU67" s="17"/>
      <c r="AV67" s="17"/>
      <c r="AW67" s="17"/>
      <c r="AX67" s="17"/>
      <c r="AZ67" s="42" t="str">
        <f aca="false">IF(SUM(BA67:BF67)&gt;0, 1, "")</f>
        <v/>
      </c>
      <c r="BB67" s="17"/>
      <c r="BC67" s="17"/>
      <c r="BD67" s="17"/>
      <c r="BE67" s="17"/>
      <c r="BF67" s="17"/>
      <c r="BG67" s="42" t="str">
        <f aca="false">IF(SUM(BH67:BM67)&gt;0, 1, "")</f>
        <v/>
      </c>
      <c r="BH67" s="17"/>
      <c r="BI67" s="17"/>
      <c r="BJ67" s="17"/>
      <c r="BK67" s="17"/>
      <c r="BL67" s="17"/>
      <c r="BM67" s="17"/>
    </row>
    <row r="68" customFormat="false" ht="15" hidden="false" customHeight="false" outlineLevel="0" collapsed="false">
      <c r="A68" s="17" t="s">
        <v>200</v>
      </c>
      <c r="B68" s="17" t="s">
        <v>201</v>
      </c>
      <c r="C68" s="42" t="str">
        <f aca="false">IF(SUM(D68:I68)&gt;0, 1, "")</f>
        <v/>
      </c>
      <c r="D68" s="17"/>
      <c r="E68" s="17"/>
      <c r="F68" s="17"/>
      <c r="G68" s="17"/>
      <c r="H68" s="17"/>
      <c r="I68" s="17"/>
      <c r="J68" s="42" t="str">
        <f aca="false">IF(SUM(K68:P68)&gt;0, 1, "")</f>
        <v/>
      </c>
      <c r="K68" s="17"/>
      <c r="L68" s="17"/>
      <c r="M68" s="17"/>
      <c r="N68" s="17"/>
      <c r="O68" s="17"/>
      <c r="P68" s="17"/>
      <c r="Q68" s="42" t="str">
        <f aca="false">IF(SUM(R68:W68)&gt;0, 1, "")</f>
        <v/>
      </c>
      <c r="R68" s="17"/>
      <c r="S68" s="17"/>
      <c r="T68" s="17"/>
      <c r="U68" s="17"/>
      <c r="V68" s="17"/>
      <c r="W68" s="17"/>
      <c r="X68" s="42" t="str">
        <f aca="false">IF(SUM(Y68:AD68)&gt;0, 1, "")</f>
        <v/>
      </c>
      <c r="Y68" s="17"/>
      <c r="Z68" s="17"/>
      <c r="AA68" s="17"/>
      <c r="AB68" s="17"/>
      <c r="AC68" s="17"/>
      <c r="AD68" s="17"/>
      <c r="AE68" s="42" t="str">
        <f aca="false">IF(SUM(AF68:AK68)&gt;0, 1, "")</f>
        <v/>
      </c>
      <c r="AF68" s="17"/>
      <c r="AJ68" s="17"/>
      <c r="AK68" s="17"/>
      <c r="AL68" s="42" t="str">
        <f aca="false">IF(SUM(AM68:AR68)&gt;0, 1, "")</f>
        <v/>
      </c>
      <c r="AM68" s="17"/>
      <c r="AN68" s="17"/>
      <c r="AO68" s="17"/>
      <c r="AP68" s="17"/>
      <c r="AQ68" s="17"/>
      <c r="AR68" s="17"/>
      <c r="AS68" s="42" t="str">
        <f aca="false">IF(SUM(AT68:AY68)&gt;0, 1, "")</f>
        <v/>
      </c>
      <c r="AT68" s="17"/>
      <c r="AU68" s="17"/>
      <c r="AV68" s="17"/>
      <c r="AW68" s="17"/>
      <c r="AX68" s="17"/>
      <c r="AZ68" s="42" t="str">
        <f aca="false">IF(SUM(BA68:BF68)&gt;0, 1, "")</f>
        <v/>
      </c>
      <c r="BB68" s="17"/>
      <c r="BC68" s="17"/>
      <c r="BD68" s="17"/>
      <c r="BE68" s="17"/>
      <c r="BF68" s="17"/>
      <c r="BG68" s="42" t="str">
        <f aca="false">IF(SUM(BH68:BM68)&gt;0, 1, "")</f>
        <v/>
      </c>
      <c r="BH68" s="17"/>
      <c r="BI68" s="17"/>
      <c r="BJ68" s="17"/>
      <c r="BK68" s="17"/>
      <c r="BL68" s="17"/>
      <c r="BM68" s="17"/>
    </row>
    <row r="69" customFormat="false" ht="15" hidden="false" customHeight="false" outlineLevel="0" collapsed="false">
      <c r="A69" s="17" t="s">
        <v>202</v>
      </c>
      <c r="B69" s="17" t="s">
        <v>203</v>
      </c>
      <c r="C69" s="42" t="str">
        <f aca="false">IF(SUM(D69:I69)&gt;0, 1, "")</f>
        <v/>
      </c>
      <c r="D69" s="17"/>
      <c r="E69" s="17"/>
      <c r="F69" s="17"/>
      <c r="G69" s="17"/>
      <c r="H69" s="17"/>
      <c r="I69" s="17"/>
      <c r="J69" s="42" t="str">
        <f aca="false">IF(SUM(K69:P69)&gt;0, 1, "")</f>
        <v/>
      </c>
      <c r="K69" s="17"/>
      <c r="L69" s="17"/>
      <c r="M69" s="17"/>
      <c r="N69" s="17"/>
      <c r="O69" s="17"/>
      <c r="P69" s="17"/>
      <c r="Q69" s="42" t="str">
        <f aca="false">IF(SUM(R69:W69)&gt;0, 1, "")</f>
        <v/>
      </c>
      <c r="R69" s="17"/>
      <c r="S69" s="17"/>
      <c r="T69" s="17"/>
      <c r="U69" s="17"/>
      <c r="V69" s="17"/>
      <c r="W69" s="17"/>
      <c r="X69" s="42" t="str">
        <f aca="false">IF(SUM(Y69:AD69)&gt;0, 1, "")</f>
        <v/>
      </c>
      <c r="Y69" s="17"/>
      <c r="Z69" s="17"/>
      <c r="AA69" s="17"/>
      <c r="AB69" s="17"/>
      <c r="AC69" s="17"/>
      <c r="AD69" s="17"/>
      <c r="AE69" s="42" t="str">
        <f aca="false">IF(SUM(AF69:AK69)&gt;0, 1, "")</f>
        <v/>
      </c>
      <c r="AF69" s="17"/>
      <c r="AJ69" s="17"/>
      <c r="AK69" s="17"/>
      <c r="AL69" s="42" t="str">
        <f aca="false">IF(SUM(AM69:AR69)&gt;0, 1, "")</f>
        <v/>
      </c>
      <c r="AM69" s="17"/>
      <c r="AN69" s="17"/>
      <c r="AO69" s="17"/>
      <c r="AP69" s="17"/>
      <c r="AQ69" s="17"/>
      <c r="AR69" s="17"/>
      <c r="AS69" s="42" t="str">
        <f aca="false">IF(SUM(AT69:AY69)&gt;0, 1, "")</f>
        <v/>
      </c>
      <c r="AT69" s="17"/>
      <c r="AU69" s="17"/>
      <c r="AV69" s="17"/>
      <c r="AW69" s="17"/>
      <c r="AX69" s="17"/>
      <c r="AZ69" s="42" t="str">
        <f aca="false">IF(SUM(BA69:BF69)&gt;0, 1, "")</f>
        <v/>
      </c>
      <c r="BB69" s="17"/>
      <c r="BC69" s="17"/>
      <c r="BD69" s="17"/>
      <c r="BE69" s="17"/>
      <c r="BF69" s="17"/>
      <c r="BG69" s="42" t="str">
        <f aca="false">IF(SUM(BH69:BM69)&gt;0, 1, "")</f>
        <v/>
      </c>
      <c r="BH69" s="17"/>
      <c r="BI69" s="17"/>
      <c r="BJ69" s="17"/>
      <c r="BK69" s="17"/>
      <c r="BL69" s="17"/>
      <c r="BM69" s="17"/>
    </row>
    <row r="70" customFormat="false" ht="15" hidden="false" customHeight="false" outlineLevel="0" collapsed="false">
      <c r="A70" s="17" t="s">
        <v>204</v>
      </c>
      <c r="B70" s="17" t="s">
        <v>205</v>
      </c>
      <c r="C70" s="42" t="str">
        <f aca="false">IF(SUM(D70:I70)&gt;0, 1, "")</f>
        <v/>
      </c>
      <c r="D70" s="17"/>
      <c r="E70" s="17"/>
      <c r="F70" s="17"/>
      <c r="G70" s="17"/>
      <c r="H70" s="17"/>
      <c r="I70" s="17"/>
      <c r="J70" s="42" t="str">
        <f aca="false">IF(SUM(K70:P70)&gt;0, 1, "")</f>
        <v/>
      </c>
      <c r="K70" s="17"/>
      <c r="L70" s="17"/>
      <c r="M70" s="17"/>
      <c r="N70" s="17"/>
      <c r="O70" s="17"/>
      <c r="P70" s="17"/>
      <c r="Q70" s="42" t="str">
        <f aca="false">IF(SUM(R70:W70)&gt;0, 1, "")</f>
        <v/>
      </c>
      <c r="R70" s="17"/>
      <c r="S70" s="17"/>
      <c r="T70" s="17"/>
      <c r="U70" s="17"/>
      <c r="V70" s="17"/>
      <c r="W70" s="17"/>
      <c r="X70" s="42" t="str">
        <f aca="false">IF(SUM(Y70:AD70)&gt;0, 1, "")</f>
        <v/>
      </c>
      <c r="Y70" s="17"/>
      <c r="Z70" s="17"/>
      <c r="AA70" s="17"/>
      <c r="AB70" s="17"/>
      <c r="AC70" s="17"/>
      <c r="AD70" s="17"/>
      <c r="AE70" s="42" t="str">
        <f aca="false">IF(SUM(AF70:AK70)&gt;0, 1, "")</f>
        <v/>
      </c>
      <c r="AF70" s="17"/>
      <c r="AJ70" s="17"/>
      <c r="AK70" s="17"/>
      <c r="AL70" s="42" t="str">
        <f aca="false">IF(SUM(AM70:AR70)&gt;0, 1, "")</f>
        <v/>
      </c>
      <c r="AM70" s="17"/>
      <c r="AN70" s="17"/>
      <c r="AO70" s="17"/>
      <c r="AP70" s="17"/>
      <c r="AQ70" s="17"/>
      <c r="AR70" s="17"/>
      <c r="AS70" s="42" t="str">
        <f aca="false">IF(SUM(AT70:AY70)&gt;0, 1, "")</f>
        <v/>
      </c>
      <c r="AT70" s="17"/>
      <c r="AU70" s="17"/>
      <c r="AV70" s="17"/>
      <c r="AW70" s="17"/>
      <c r="AX70" s="17"/>
      <c r="AZ70" s="42" t="str">
        <f aca="false">IF(SUM(BA70:BF70)&gt;0, 1, "")</f>
        <v/>
      </c>
      <c r="BB70" s="17"/>
      <c r="BC70" s="17"/>
      <c r="BD70" s="17"/>
      <c r="BE70" s="17"/>
      <c r="BF70" s="17"/>
      <c r="BG70" s="42" t="str">
        <f aca="false">IF(SUM(BH70:BM70)&gt;0, 1, "")</f>
        <v/>
      </c>
      <c r="BH70" s="17"/>
      <c r="BI70" s="17"/>
      <c r="BJ70" s="17"/>
      <c r="BK70" s="17"/>
      <c r="BL70" s="17"/>
      <c r="BM70" s="17"/>
    </row>
    <row r="71" customFormat="false" ht="15" hidden="false" customHeight="false" outlineLevel="0" collapsed="false">
      <c r="A71" s="17" t="s">
        <v>206</v>
      </c>
      <c r="B71" s="17" t="s">
        <v>207</v>
      </c>
      <c r="C71" s="42" t="str">
        <f aca="false">IF(SUM(D71:I71)&gt;0, 1, "")</f>
        <v/>
      </c>
      <c r="D71" s="17"/>
      <c r="E71" s="17"/>
      <c r="F71" s="17"/>
      <c r="G71" s="17"/>
      <c r="H71" s="17"/>
      <c r="I71" s="17"/>
      <c r="J71" s="42" t="str">
        <f aca="false">IF(SUM(K71:P71)&gt;0, 1, "")</f>
        <v/>
      </c>
      <c r="K71" s="17"/>
      <c r="L71" s="17"/>
      <c r="M71" s="17"/>
      <c r="N71" s="17"/>
      <c r="O71" s="17"/>
      <c r="P71" s="17"/>
      <c r="Q71" s="42" t="str">
        <f aca="false">IF(SUM(R71:W71)&gt;0, 1, "")</f>
        <v/>
      </c>
      <c r="R71" s="17"/>
      <c r="S71" s="17"/>
      <c r="T71" s="17"/>
      <c r="U71" s="17"/>
      <c r="V71" s="17"/>
      <c r="W71" s="17"/>
      <c r="X71" s="42" t="str">
        <f aca="false">IF(SUM(Y71:AD71)&gt;0, 1, "")</f>
        <v/>
      </c>
      <c r="Y71" s="17"/>
      <c r="Z71" s="17"/>
      <c r="AA71" s="17"/>
      <c r="AB71" s="17"/>
      <c r="AC71" s="17"/>
      <c r="AD71" s="17"/>
      <c r="AE71" s="42" t="str">
        <f aca="false">IF(SUM(AF71:AK71)&gt;0, 1, "")</f>
        <v/>
      </c>
      <c r="AF71" s="17"/>
      <c r="AJ71" s="17"/>
      <c r="AK71" s="17"/>
      <c r="AL71" s="42" t="str">
        <f aca="false">IF(SUM(AM71:AR71)&gt;0, 1, "")</f>
        <v/>
      </c>
      <c r="AM71" s="17"/>
      <c r="AN71" s="17"/>
      <c r="AO71" s="17"/>
      <c r="AP71" s="17"/>
      <c r="AQ71" s="17"/>
      <c r="AR71" s="17"/>
      <c r="AS71" s="42" t="str">
        <f aca="false">IF(SUM(AT71:AY71)&gt;0, 1, "")</f>
        <v/>
      </c>
      <c r="AT71" s="17"/>
      <c r="AU71" s="17"/>
      <c r="AV71" s="17"/>
      <c r="AW71" s="17"/>
      <c r="AX71" s="17"/>
      <c r="AZ71" s="42" t="str">
        <f aca="false">IF(SUM(BA71:BF71)&gt;0, 1, "")</f>
        <v/>
      </c>
      <c r="BB71" s="17"/>
      <c r="BC71" s="17"/>
      <c r="BD71" s="17"/>
      <c r="BE71" s="17"/>
      <c r="BF71" s="17"/>
      <c r="BG71" s="42" t="str">
        <f aca="false">IF(SUM(BH71:BM71)&gt;0, 1, "")</f>
        <v/>
      </c>
      <c r="BH71" s="17"/>
      <c r="BI71" s="17"/>
      <c r="BJ71" s="17"/>
      <c r="BK71" s="17"/>
      <c r="BL71" s="17"/>
      <c r="BM71" s="17"/>
    </row>
    <row r="72" customFormat="false" ht="15" hidden="false" customHeight="false" outlineLevel="0" collapsed="false">
      <c r="A72" s="17" t="s">
        <v>208</v>
      </c>
      <c r="B72" s="17" t="s">
        <v>209</v>
      </c>
      <c r="C72" s="42" t="str">
        <f aca="false">IF(SUM(D72:I72)&gt;0, 1, "")</f>
        <v/>
      </c>
      <c r="D72" s="17"/>
      <c r="E72" s="17"/>
      <c r="F72" s="17"/>
      <c r="G72" s="17"/>
      <c r="H72" s="17"/>
      <c r="I72" s="17"/>
      <c r="J72" s="42" t="str">
        <f aca="false">IF(SUM(K72:P72)&gt;0, 1, "")</f>
        <v/>
      </c>
      <c r="K72" s="17"/>
      <c r="L72" s="17"/>
      <c r="M72" s="17"/>
      <c r="N72" s="17"/>
      <c r="O72" s="17"/>
      <c r="P72" s="17"/>
      <c r="Q72" s="42" t="str">
        <f aca="false">IF(SUM(R72:W72)&gt;0, 1, "")</f>
        <v/>
      </c>
      <c r="R72" s="17"/>
      <c r="S72" s="17"/>
      <c r="T72" s="17"/>
      <c r="U72" s="17"/>
      <c r="V72" s="17"/>
      <c r="W72" s="17"/>
      <c r="X72" s="42" t="str">
        <f aca="false">IF(SUM(Y72:AD72)&gt;0, 1, "")</f>
        <v/>
      </c>
      <c r="Y72" s="17"/>
      <c r="Z72" s="17"/>
      <c r="AA72" s="17"/>
      <c r="AB72" s="17"/>
      <c r="AC72" s="17"/>
      <c r="AD72" s="17"/>
      <c r="AE72" s="42" t="str">
        <f aca="false">IF(SUM(AF72:AK72)&gt;0, 1, "")</f>
        <v/>
      </c>
      <c r="AF72" s="17"/>
      <c r="AJ72" s="17"/>
      <c r="AK72" s="17"/>
      <c r="AL72" s="42" t="str">
        <f aca="false">IF(SUM(AM72:AR72)&gt;0, 1, "")</f>
        <v/>
      </c>
      <c r="AM72" s="17"/>
      <c r="AN72" s="17"/>
      <c r="AO72" s="17"/>
      <c r="AP72" s="17"/>
      <c r="AQ72" s="17"/>
      <c r="AR72" s="17"/>
      <c r="AS72" s="42" t="str">
        <f aca="false">IF(SUM(AT72:AY72)&gt;0, 1, "")</f>
        <v/>
      </c>
      <c r="AT72" s="17"/>
      <c r="AU72" s="17"/>
      <c r="AV72" s="17"/>
      <c r="AW72" s="17"/>
      <c r="AX72" s="17"/>
      <c r="AZ72" s="42" t="str">
        <f aca="false">IF(SUM(BA72:BF72)&gt;0, 1, "")</f>
        <v/>
      </c>
      <c r="BB72" s="17"/>
      <c r="BC72" s="17"/>
      <c r="BD72" s="17"/>
      <c r="BE72" s="17"/>
      <c r="BF72" s="17"/>
      <c r="BG72" s="42" t="str">
        <f aca="false">IF(SUM(BH72:BM72)&gt;0, 1, "")</f>
        <v/>
      </c>
      <c r="BH72" s="17"/>
      <c r="BI72" s="17"/>
      <c r="BJ72" s="17"/>
      <c r="BK72" s="17"/>
      <c r="BL72" s="17"/>
      <c r="BM72" s="17"/>
    </row>
    <row r="73" customFormat="false" ht="15" hidden="false" customHeight="false" outlineLevel="0" collapsed="false">
      <c r="A73" s="17" t="s">
        <v>210</v>
      </c>
      <c r="B73" s="17" t="s">
        <v>211</v>
      </c>
      <c r="C73" s="42" t="str">
        <f aca="false">IF(SUM(D73:I73)&gt;0, 1, "")</f>
        <v/>
      </c>
      <c r="D73" s="17"/>
      <c r="E73" s="17"/>
      <c r="F73" s="17"/>
      <c r="G73" s="17"/>
      <c r="H73" s="17"/>
      <c r="I73" s="17"/>
      <c r="J73" s="42" t="str">
        <f aca="false">IF(SUM(K73:P73)&gt;0, 1, "")</f>
        <v/>
      </c>
      <c r="K73" s="17"/>
      <c r="L73" s="17"/>
      <c r="M73" s="17"/>
      <c r="N73" s="17"/>
      <c r="O73" s="17"/>
      <c r="P73" s="17"/>
      <c r="Q73" s="42" t="str">
        <f aca="false">IF(SUM(R73:W73)&gt;0, 1, "")</f>
        <v/>
      </c>
      <c r="R73" s="17"/>
      <c r="S73" s="17"/>
      <c r="T73" s="17"/>
      <c r="U73" s="17"/>
      <c r="V73" s="17"/>
      <c r="W73" s="17"/>
      <c r="X73" s="42" t="str">
        <f aca="false">IF(SUM(Y73:AD73)&gt;0, 1, "")</f>
        <v/>
      </c>
      <c r="Y73" s="17"/>
      <c r="Z73" s="17"/>
      <c r="AA73" s="17"/>
      <c r="AB73" s="17"/>
      <c r="AC73" s="17"/>
      <c r="AD73" s="17"/>
      <c r="AE73" s="42" t="str">
        <f aca="false">IF(SUM(AF73:AK73)&gt;0, 1, "")</f>
        <v/>
      </c>
      <c r="AF73" s="17"/>
      <c r="AJ73" s="17"/>
      <c r="AK73" s="17"/>
      <c r="AL73" s="42" t="str">
        <f aca="false">IF(SUM(AM73:AR73)&gt;0, 1, "")</f>
        <v/>
      </c>
      <c r="AM73" s="17"/>
      <c r="AN73" s="17"/>
      <c r="AO73" s="17"/>
      <c r="AP73" s="17"/>
      <c r="AQ73" s="17"/>
      <c r="AR73" s="17"/>
      <c r="AS73" s="42" t="str">
        <f aca="false">IF(SUM(AT73:AY73)&gt;0, 1, "")</f>
        <v/>
      </c>
      <c r="AT73" s="17"/>
      <c r="AU73" s="17"/>
      <c r="AV73" s="17"/>
      <c r="AW73" s="17"/>
      <c r="AX73" s="17"/>
      <c r="AZ73" s="42" t="str">
        <f aca="false">IF(SUM(BA73:BF73)&gt;0, 1, "")</f>
        <v/>
      </c>
      <c r="BB73" s="17"/>
      <c r="BC73" s="17"/>
      <c r="BD73" s="17"/>
      <c r="BE73" s="17"/>
      <c r="BF73" s="17"/>
      <c r="BG73" s="42" t="str">
        <f aca="false">IF(SUM(BH73:BM73)&gt;0, 1, "")</f>
        <v/>
      </c>
      <c r="BH73" s="17"/>
      <c r="BI73" s="17"/>
      <c r="BJ73" s="17"/>
      <c r="BK73" s="17"/>
      <c r="BL73" s="17"/>
      <c r="BM73" s="17"/>
    </row>
    <row r="74" customFormat="false" ht="15" hidden="false" customHeight="false" outlineLevel="0" collapsed="false">
      <c r="A74" s="17" t="s">
        <v>212</v>
      </c>
      <c r="B74" s="17" t="s">
        <v>213</v>
      </c>
      <c r="C74" s="42" t="str">
        <f aca="false">IF(SUM(D74:I74)&gt;0, 1, "")</f>
        <v/>
      </c>
      <c r="D74" s="17"/>
      <c r="E74" s="17"/>
      <c r="F74" s="17"/>
      <c r="G74" s="17"/>
      <c r="H74" s="17"/>
      <c r="I74" s="17"/>
      <c r="J74" s="42" t="str">
        <f aca="false">IF(SUM(K74:P74)&gt;0, 1, "")</f>
        <v/>
      </c>
      <c r="K74" s="17"/>
      <c r="L74" s="17"/>
      <c r="M74" s="17"/>
      <c r="N74" s="17"/>
      <c r="O74" s="17"/>
      <c r="P74" s="17"/>
      <c r="Q74" s="42" t="str">
        <f aca="false">IF(SUM(R74:W74)&gt;0, 1, "")</f>
        <v/>
      </c>
      <c r="R74" s="17"/>
      <c r="S74" s="17"/>
      <c r="T74" s="17"/>
      <c r="U74" s="17"/>
      <c r="V74" s="17"/>
      <c r="W74" s="17"/>
      <c r="X74" s="42" t="str">
        <f aca="false">IF(SUM(Y74:AD74)&gt;0, 1, "")</f>
        <v/>
      </c>
      <c r="Y74" s="17"/>
      <c r="Z74" s="17"/>
      <c r="AA74" s="17"/>
      <c r="AB74" s="17"/>
      <c r="AC74" s="17"/>
      <c r="AD74" s="17"/>
      <c r="AE74" s="42" t="str">
        <f aca="false">IF(SUM(AF74:AK74)&gt;0, 1, "")</f>
        <v/>
      </c>
      <c r="AF74" s="17"/>
      <c r="AJ74" s="17"/>
      <c r="AK74" s="17"/>
      <c r="AL74" s="42" t="str">
        <f aca="false">IF(SUM(AM74:AR74)&gt;0, 1, "")</f>
        <v/>
      </c>
      <c r="AM74" s="17"/>
      <c r="AN74" s="17"/>
      <c r="AO74" s="17"/>
      <c r="AP74" s="17"/>
      <c r="AQ74" s="17"/>
      <c r="AR74" s="17"/>
      <c r="AS74" s="42" t="str">
        <f aca="false">IF(SUM(AT74:AY74)&gt;0, 1, "")</f>
        <v/>
      </c>
      <c r="AT74" s="17"/>
      <c r="AU74" s="17"/>
      <c r="AV74" s="17"/>
      <c r="AW74" s="17"/>
      <c r="AX74" s="17"/>
      <c r="AZ74" s="42" t="str">
        <f aca="false">IF(SUM(BA74:BF74)&gt;0, 1, "")</f>
        <v/>
      </c>
      <c r="BB74" s="17"/>
      <c r="BC74" s="17"/>
      <c r="BD74" s="17"/>
      <c r="BE74" s="17"/>
      <c r="BF74" s="17"/>
      <c r="BG74" s="42" t="str">
        <f aca="false">IF(SUM(BH74:BM74)&gt;0, 1, "")</f>
        <v/>
      </c>
      <c r="BH74" s="17"/>
      <c r="BI74" s="17"/>
      <c r="BJ74" s="17"/>
      <c r="BK74" s="17"/>
      <c r="BL74" s="17"/>
      <c r="BM74" s="17"/>
    </row>
    <row r="75" customFormat="false" ht="15" hidden="false" customHeight="false" outlineLevel="0" collapsed="false">
      <c r="A75" s="17" t="s">
        <v>214</v>
      </c>
      <c r="B75" s="17" t="s">
        <v>215</v>
      </c>
      <c r="C75" s="42" t="str">
        <f aca="false">IF(SUM(D75:I75)&gt;0, 1, "")</f>
        <v/>
      </c>
      <c r="D75" s="17"/>
      <c r="E75" s="17"/>
      <c r="F75" s="17"/>
      <c r="G75" s="17"/>
      <c r="H75" s="17"/>
      <c r="I75" s="17"/>
      <c r="J75" s="42" t="str">
        <f aca="false">IF(SUM(K75:P75)&gt;0, 1, "")</f>
        <v/>
      </c>
      <c r="K75" s="17"/>
      <c r="L75" s="17"/>
      <c r="M75" s="17"/>
      <c r="N75" s="17"/>
      <c r="O75" s="17"/>
      <c r="P75" s="17"/>
      <c r="Q75" s="42" t="str">
        <f aca="false">IF(SUM(R75:W75)&gt;0, 1, "")</f>
        <v/>
      </c>
      <c r="R75" s="17"/>
      <c r="S75" s="17"/>
      <c r="T75" s="17"/>
      <c r="U75" s="17"/>
      <c r="V75" s="17"/>
      <c r="W75" s="17"/>
      <c r="X75" s="42" t="str">
        <f aca="false">IF(SUM(Y75:AD75)&gt;0, 1, "")</f>
        <v/>
      </c>
      <c r="Y75" s="17"/>
      <c r="Z75" s="17"/>
      <c r="AA75" s="17"/>
      <c r="AB75" s="17"/>
      <c r="AC75" s="17"/>
      <c r="AD75" s="17"/>
      <c r="AE75" s="42" t="str">
        <f aca="false">IF(SUM(AF75:AK75)&gt;0, 1, "")</f>
        <v/>
      </c>
      <c r="AF75" s="17"/>
      <c r="AJ75" s="17"/>
      <c r="AK75" s="17"/>
      <c r="AL75" s="42" t="str">
        <f aca="false">IF(SUM(AM75:AR75)&gt;0, 1, "")</f>
        <v/>
      </c>
      <c r="AM75" s="17"/>
      <c r="AN75" s="17"/>
      <c r="AO75" s="17"/>
      <c r="AP75" s="17"/>
      <c r="AQ75" s="17"/>
      <c r="AR75" s="17"/>
      <c r="AS75" s="42" t="str">
        <f aca="false">IF(SUM(AT75:AY75)&gt;0, 1, "")</f>
        <v/>
      </c>
      <c r="AT75" s="17"/>
      <c r="AU75" s="17"/>
      <c r="AV75" s="17"/>
      <c r="AW75" s="17"/>
      <c r="AX75" s="17"/>
      <c r="AZ75" s="42" t="str">
        <f aca="false">IF(SUM(BA75:BF75)&gt;0, 1, "")</f>
        <v/>
      </c>
      <c r="BB75" s="17"/>
      <c r="BC75" s="17"/>
      <c r="BD75" s="17"/>
      <c r="BE75" s="17"/>
      <c r="BF75" s="17"/>
      <c r="BG75" s="42" t="str">
        <f aca="false">IF(SUM(BH75:BM75)&gt;0, 1, "")</f>
        <v/>
      </c>
      <c r="BH75" s="17"/>
      <c r="BI75" s="17"/>
      <c r="BJ75" s="17"/>
      <c r="BK75" s="17"/>
      <c r="BL75" s="17"/>
      <c r="BM75" s="17"/>
    </row>
    <row r="76" customFormat="false" ht="15" hidden="false" customHeight="false" outlineLevel="0" collapsed="false">
      <c r="A76" s="17" t="s">
        <v>216</v>
      </c>
      <c r="B76" s="17" t="s">
        <v>217</v>
      </c>
      <c r="C76" s="42" t="n">
        <f aca="false">IF(SUM(D76:I76)&gt;0, 1, "")</f>
        <v>1</v>
      </c>
      <c r="D76" s="17"/>
      <c r="E76" s="17"/>
      <c r="F76" s="17"/>
      <c r="G76" s="17" t="n">
        <v>1</v>
      </c>
      <c r="H76" s="17"/>
      <c r="I76" s="17"/>
      <c r="J76" s="42" t="n">
        <f aca="false">IF(SUM(K76:P76)&gt;0, 1, "")</f>
        <v>1</v>
      </c>
      <c r="K76" s="17"/>
      <c r="L76" s="17"/>
      <c r="M76" s="17"/>
      <c r="N76" s="17" t="n">
        <v>1</v>
      </c>
      <c r="O76" s="17"/>
      <c r="P76" s="17"/>
      <c r="Q76" s="42" t="n">
        <f aca="false">IF(SUM(R76:W76)&gt;0, 1, "")</f>
        <v>1</v>
      </c>
      <c r="R76" s="17"/>
      <c r="S76" s="17"/>
      <c r="T76" s="17"/>
      <c r="U76" s="17" t="n">
        <v>1</v>
      </c>
      <c r="V76" s="17"/>
      <c r="W76" s="17"/>
      <c r="X76" s="42" t="n">
        <f aca="false">IF(SUM(Y76:AD76)&gt;0, 1, "")</f>
        <v>1</v>
      </c>
      <c r="Y76" s="17"/>
      <c r="Z76" s="17"/>
      <c r="AA76" s="17"/>
      <c r="AB76" s="17" t="n">
        <v>1</v>
      </c>
      <c r="AC76" s="17"/>
      <c r="AD76" s="17"/>
      <c r="AE76" s="42" t="n">
        <f aca="false">IF(SUM(AF76:AK76)&gt;0, 1, "")</f>
        <v>1</v>
      </c>
      <c r="AF76" s="17"/>
      <c r="AG76" s="17"/>
      <c r="AH76" s="17"/>
      <c r="AI76" s="17" t="n">
        <v>1</v>
      </c>
      <c r="AJ76" s="17"/>
      <c r="AK76" s="17"/>
      <c r="AL76" s="42" t="n">
        <f aca="false">IF(SUM(AM76:AR76)&gt;0, 1, "")</f>
        <v>1</v>
      </c>
      <c r="AM76" s="17"/>
      <c r="AN76" s="17"/>
      <c r="AO76" s="17"/>
      <c r="AP76" s="17" t="n">
        <v>1</v>
      </c>
      <c r="AQ76" s="17"/>
      <c r="AR76" s="17"/>
      <c r="AS76" s="42" t="n">
        <f aca="false">IF(SUM(AT76:AY76)&gt;0, 1, "")</f>
        <v>1</v>
      </c>
      <c r="AT76" s="17"/>
      <c r="AU76" s="17"/>
      <c r="AV76" s="17"/>
      <c r="AW76" s="17" t="n">
        <v>1</v>
      </c>
      <c r="AX76" s="17"/>
      <c r="AY76" s="17"/>
      <c r="AZ76" s="42" t="n">
        <f aca="false">IF(SUM(BA76:BF76)&gt;0, 1, "")</f>
        <v>1</v>
      </c>
      <c r="BA76" s="17"/>
      <c r="BB76" s="17"/>
      <c r="BC76" s="17"/>
      <c r="BD76" s="17" t="n">
        <v>1</v>
      </c>
      <c r="BE76" s="17"/>
      <c r="BF76" s="17"/>
      <c r="BG76" s="42" t="n">
        <f aca="false">IF(SUM(BH76:BM76)&gt;0, 1, "")</f>
        <v>1</v>
      </c>
      <c r="BH76" s="17"/>
      <c r="BI76" s="17"/>
      <c r="BJ76" s="17"/>
      <c r="BK76" s="17" t="n">
        <v>1</v>
      </c>
      <c r="BL76" s="17"/>
      <c r="BM76" s="17"/>
    </row>
    <row r="77" customFormat="false" ht="15" hidden="false" customHeight="false" outlineLevel="0" collapsed="false">
      <c r="A77" s="17" t="s">
        <v>218</v>
      </c>
      <c r="B77" s="17" t="s">
        <v>219</v>
      </c>
      <c r="C77" s="42" t="n">
        <f aca="false">IF(SUM(D77:I77)&gt;0, 1, "")</f>
        <v>1</v>
      </c>
      <c r="D77" s="17"/>
      <c r="E77" s="17"/>
      <c r="F77" s="17" t="n">
        <v>1</v>
      </c>
      <c r="G77" s="17"/>
      <c r="H77" s="17"/>
      <c r="I77" s="17"/>
      <c r="J77" s="42" t="n">
        <f aca="false">IF(SUM(K77:P77)&gt;0, 1, "")</f>
        <v>1</v>
      </c>
      <c r="K77" s="17"/>
      <c r="L77" s="17"/>
      <c r="M77" s="17" t="n">
        <v>1</v>
      </c>
      <c r="N77" s="17"/>
      <c r="O77" s="17"/>
      <c r="P77" s="17"/>
      <c r="Q77" s="42" t="n">
        <f aca="false">IF(SUM(R77:W77)&gt;0, 1, "")</f>
        <v>1</v>
      </c>
      <c r="R77" s="17"/>
      <c r="S77" s="17"/>
      <c r="T77" s="17" t="n">
        <v>1</v>
      </c>
      <c r="U77" s="17"/>
      <c r="V77" s="17"/>
      <c r="W77" s="17"/>
      <c r="X77" s="42" t="n">
        <f aca="false">IF(SUM(Y77:AD77)&gt;0, 1, "")</f>
        <v>1</v>
      </c>
      <c r="Y77" s="17"/>
      <c r="Z77" s="17"/>
      <c r="AA77" s="17" t="n">
        <v>1</v>
      </c>
      <c r="AB77" s="17"/>
      <c r="AC77" s="17"/>
      <c r="AD77" s="17"/>
      <c r="AE77" s="42" t="n">
        <f aca="false">IF(SUM(AF77:AK77)&gt;0, 1, "")</f>
        <v>1</v>
      </c>
      <c r="AF77" s="17"/>
      <c r="AG77" s="17"/>
      <c r="AH77" s="17" t="n">
        <v>1</v>
      </c>
      <c r="AI77" s="17"/>
      <c r="AJ77" s="17"/>
      <c r="AK77" s="17"/>
      <c r="AL77" s="42" t="n">
        <f aca="false">IF(SUM(AM77:AR77)&gt;0, 1, "")</f>
        <v>1</v>
      </c>
      <c r="AM77" s="17"/>
      <c r="AN77" s="17"/>
      <c r="AO77" s="17" t="n">
        <v>1</v>
      </c>
      <c r="AP77" s="17"/>
      <c r="AQ77" s="17"/>
      <c r="AR77" s="17"/>
      <c r="AS77" s="42" t="n">
        <f aca="false">IF(SUM(AT77:AY77)&gt;0, 1, "")</f>
        <v>1</v>
      </c>
      <c r="AT77" s="17"/>
      <c r="AU77" s="17"/>
      <c r="AV77" s="17" t="n">
        <v>1</v>
      </c>
      <c r="AW77" s="17"/>
      <c r="AX77" s="17"/>
      <c r="AY77" s="17"/>
      <c r="AZ77" s="42" t="n">
        <f aca="false">IF(SUM(BA77:BF77)&gt;0, 1, "")</f>
        <v>1</v>
      </c>
      <c r="BA77" s="17"/>
      <c r="BB77" s="17"/>
      <c r="BC77" s="17" t="n">
        <v>1</v>
      </c>
      <c r="BD77" s="17"/>
      <c r="BE77" s="17"/>
      <c r="BF77" s="17"/>
      <c r="BG77" s="42" t="n">
        <f aca="false">IF(SUM(BH77:BM77)&gt;0, 1, "")</f>
        <v>1</v>
      </c>
      <c r="BH77" s="17"/>
      <c r="BI77" s="17"/>
      <c r="BJ77" s="17" t="n">
        <v>1</v>
      </c>
      <c r="BK77" s="17"/>
      <c r="BL77" s="17"/>
      <c r="BM77" s="17"/>
    </row>
    <row r="78" customFormat="false" ht="15" hidden="false" customHeight="false" outlineLevel="0" collapsed="false">
      <c r="A78" s="17" t="s">
        <v>220</v>
      </c>
      <c r="B78" s="17" t="s">
        <v>221</v>
      </c>
      <c r="C78" s="42" t="n">
        <f aca="false">IF(SUM(D78:I78)&gt;0, 1, "")</f>
        <v>1</v>
      </c>
      <c r="D78" s="17"/>
      <c r="E78" s="17" t="n">
        <v>1</v>
      </c>
      <c r="F78" s="17"/>
      <c r="G78" s="17"/>
      <c r="H78" s="17"/>
      <c r="I78" s="17"/>
      <c r="J78" s="42" t="n">
        <f aca="false">IF(SUM(K78:P78)&gt;0, 1, "")</f>
        <v>1</v>
      </c>
      <c r="K78" s="17"/>
      <c r="L78" s="17" t="n">
        <v>1</v>
      </c>
      <c r="M78" s="17"/>
      <c r="N78" s="17"/>
      <c r="O78" s="17"/>
      <c r="P78" s="17"/>
      <c r="Q78" s="42" t="n">
        <f aca="false">IF(SUM(R78:W78)&gt;0, 1, "")</f>
        <v>1</v>
      </c>
      <c r="R78" s="17"/>
      <c r="S78" s="17" t="n">
        <v>1</v>
      </c>
      <c r="T78" s="17"/>
      <c r="U78" s="17"/>
      <c r="V78" s="17"/>
      <c r="W78" s="17"/>
      <c r="X78" s="42" t="n">
        <f aca="false">IF(SUM(Y78:AD78)&gt;0, 1, "")</f>
        <v>1</v>
      </c>
      <c r="Y78" s="17"/>
      <c r="Z78" s="17" t="n">
        <v>1</v>
      </c>
      <c r="AA78" s="17"/>
      <c r="AB78" s="17"/>
      <c r="AC78" s="17"/>
      <c r="AD78" s="17"/>
      <c r="AE78" s="42" t="n">
        <f aca="false">IF(SUM(AF78:AK78)&gt;0, 1, "")</f>
        <v>1</v>
      </c>
      <c r="AF78" s="17"/>
      <c r="AG78" s="17" t="n">
        <v>1</v>
      </c>
      <c r="AH78" s="17"/>
      <c r="AI78" s="17"/>
      <c r="AJ78" s="17"/>
      <c r="AK78" s="17"/>
      <c r="AL78" s="42" t="n">
        <f aca="false">IF(SUM(AM78:AR78)&gt;0, 1, "")</f>
        <v>1</v>
      </c>
      <c r="AM78" s="17"/>
      <c r="AN78" s="17" t="n">
        <v>1</v>
      </c>
      <c r="AO78" s="17"/>
      <c r="AP78" s="17"/>
      <c r="AQ78" s="17"/>
      <c r="AR78" s="17"/>
      <c r="AS78" s="42" t="n">
        <f aca="false">IF(SUM(AT78:AY78)&gt;0, 1, "")</f>
        <v>1</v>
      </c>
      <c r="AT78" s="17"/>
      <c r="AU78" s="17" t="n">
        <v>1</v>
      </c>
      <c r="AV78" s="17"/>
      <c r="AW78" s="17"/>
      <c r="AX78" s="17"/>
      <c r="AY78" s="17"/>
      <c r="AZ78" s="42" t="n">
        <f aca="false">IF(SUM(BA78:BF78)&gt;0, 1, "")</f>
        <v>1</v>
      </c>
      <c r="BA78" s="17"/>
      <c r="BB78" s="17" t="n">
        <v>1</v>
      </c>
      <c r="BC78" s="17"/>
      <c r="BD78" s="17"/>
      <c r="BE78" s="17"/>
      <c r="BF78" s="17"/>
      <c r="BG78" s="42" t="n">
        <f aca="false">IF(SUM(BH78:BM78)&gt;0, 1, "")</f>
        <v>1</v>
      </c>
      <c r="BH78" s="17"/>
      <c r="BI78" s="17" t="n">
        <v>1</v>
      </c>
      <c r="BJ78" s="17"/>
      <c r="BK78" s="17"/>
      <c r="BL78" s="17"/>
      <c r="BM78" s="17"/>
    </row>
    <row r="79" customFormat="false" ht="15" hidden="false" customHeight="false" outlineLevel="0" collapsed="false">
      <c r="A79" s="17" t="s">
        <v>222</v>
      </c>
      <c r="B79" s="17" t="s">
        <v>223</v>
      </c>
      <c r="C79" s="42" t="str">
        <f aca="false">IF(SUM(D79:I79)&gt;0, 1, "")</f>
        <v/>
      </c>
      <c r="D79" s="17"/>
      <c r="E79" s="17"/>
      <c r="F79" s="17"/>
      <c r="G79" s="17"/>
      <c r="H79" s="17"/>
      <c r="I79" s="17"/>
      <c r="J79" s="42" t="str">
        <f aca="false">IF(SUM(K79:P79)&gt;0, 1, "")</f>
        <v/>
      </c>
      <c r="K79" s="17"/>
      <c r="L79" s="17"/>
      <c r="M79" s="17"/>
      <c r="N79" s="17"/>
      <c r="O79" s="17"/>
      <c r="P79" s="17"/>
      <c r="Q79" s="42" t="str">
        <f aca="false">IF(SUM(R79:W79)&gt;0, 1, "")</f>
        <v/>
      </c>
      <c r="R79" s="17"/>
      <c r="S79" s="17"/>
      <c r="T79" s="17"/>
      <c r="U79" s="17"/>
      <c r="V79" s="17"/>
      <c r="W79" s="17"/>
      <c r="X79" s="42" t="str">
        <f aca="false">IF(SUM(Y79:AD79)&gt;0, 1, "")</f>
        <v/>
      </c>
      <c r="Y79" s="17"/>
      <c r="Z79" s="17"/>
      <c r="AA79" s="17"/>
      <c r="AB79" s="17"/>
      <c r="AC79" s="17"/>
      <c r="AD79" s="17"/>
      <c r="AE79" s="42" t="str">
        <f aca="false">IF(SUM(AF79:AK79)&gt;0, 1, "")</f>
        <v/>
      </c>
      <c r="AF79" s="17"/>
      <c r="AG79" s="17"/>
      <c r="AH79" s="17"/>
      <c r="AI79" s="17"/>
      <c r="AJ79" s="17"/>
      <c r="AK79" s="17"/>
      <c r="AL79" s="42" t="str">
        <f aca="false">IF(SUM(AM79:AR79)&gt;0, 1, "")</f>
        <v/>
      </c>
      <c r="AM79" s="17"/>
      <c r="AN79" s="17"/>
      <c r="AO79" s="17"/>
      <c r="AP79" s="17"/>
      <c r="AQ79" s="17"/>
      <c r="AR79" s="17"/>
      <c r="AS79" s="42" t="str">
        <f aca="false">IF(SUM(AT79:AY79)&gt;0, 1, "")</f>
        <v/>
      </c>
      <c r="AT79" s="17"/>
      <c r="AU79" s="17"/>
      <c r="AV79" s="17"/>
      <c r="AW79" s="17"/>
      <c r="AX79" s="17"/>
      <c r="AY79" s="17"/>
      <c r="AZ79" s="42" t="str">
        <f aca="false">IF(SUM(BA79:BF79)&gt;0, 1, "")</f>
        <v/>
      </c>
      <c r="BA79" s="17"/>
      <c r="BB79" s="17"/>
      <c r="BC79" s="17"/>
      <c r="BD79" s="17"/>
      <c r="BE79" s="17"/>
      <c r="BF79" s="17"/>
      <c r="BG79" s="42" t="str">
        <f aca="false">IF(SUM(BH79:BM79)&gt;0, 1, "")</f>
        <v/>
      </c>
      <c r="BH79" s="17"/>
      <c r="BI79" s="17"/>
      <c r="BJ79" s="17"/>
      <c r="BK79" s="17"/>
      <c r="BL79" s="17"/>
      <c r="BM79" s="17"/>
    </row>
    <row r="80" customFormat="false" ht="15" hidden="false" customHeight="false" outlineLevel="0" collapsed="false">
      <c r="A80" s="17" t="s">
        <v>224</v>
      </c>
      <c r="B80" s="17" t="s">
        <v>225</v>
      </c>
      <c r="C80" s="42" t="n">
        <f aca="false">IF(SUM(D80:I80)&gt;0, 1, "")</f>
        <v>1</v>
      </c>
      <c r="D80" s="17"/>
      <c r="E80" s="17"/>
      <c r="F80" s="17" t="n">
        <v>1</v>
      </c>
      <c r="G80" s="17" t="n">
        <v>1</v>
      </c>
      <c r="H80" s="17" t="n">
        <v>1</v>
      </c>
      <c r="I80" s="17"/>
      <c r="J80" s="42" t="n">
        <f aca="false">IF(SUM(K80:P80)&gt;0, 1, "")</f>
        <v>1</v>
      </c>
      <c r="K80" s="17"/>
      <c r="L80" s="17"/>
      <c r="M80" s="17" t="n">
        <v>1</v>
      </c>
      <c r="N80" s="17" t="n">
        <v>1</v>
      </c>
      <c r="O80" s="17" t="n">
        <v>1</v>
      </c>
      <c r="P80" s="17"/>
      <c r="Q80" s="42" t="n">
        <f aca="false">IF(SUM(R80:W80)&gt;0, 1, "")</f>
        <v>1</v>
      </c>
      <c r="R80" s="17"/>
      <c r="S80" s="17"/>
      <c r="T80" s="17" t="n">
        <v>1</v>
      </c>
      <c r="U80" s="17" t="n">
        <v>1</v>
      </c>
      <c r="V80" s="17" t="n">
        <v>1</v>
      </c>
      <c r="W80" s="17"/>
      <c r="X80" s="42" t="n">
        <f aca="false">IF(SUM(Y80:AD80)&gt;0, 1, "")</f>
        <v>1</v>
      </c>
      <c r="Y80" s="17"/>
      <c r="Z80" s="17"/>
      <c r="AA80" s="17" t="n">
        <v>1</v>
      </c>
      <c r="AB80" s="17" t="n">
        <v>1</v>
      </c>
      <c r="AC80" s="17" t="n">
        <v>1</v>
      </c>
      <c r="AD80" s="17"/>
      <c r="AE80" s="42" t="n">
        <f aca="false">IF(SUM(AF80:AK80)&gt;0, 1, "")</f>
        <v>1</v>
      </c>
      <c r="AF80" s="17"/>
      <c r="AG80" s="17"/>
      <c r="AH80" s="17" t="n">
        <v>1</v>
      </c>
      <c r="AI80" s="17" t="n">
        <v>1</v>
      </c>
      <c r="AJ80" s="17" t="n">
        <v>1</v>
      </c>
      <c r="AK80" s="17"/>
      <c r="AL80" s="42" t="n">
        <f aca="false">IF(SUM(AM80:AR80)&gt;0, 1, "")</f>
        <v>1</v>
      </c>
      <c r="AM80" s="17"/>
      <c r="AN80" s="17"/>
      <c r="AO80" s="17" t="n">
        <v>1</v>
      </c>
      <c r="AP80" s="17" t="n">
        <v>1</v>
      </c>
      <c r="AQ80" s="17" t="n">
        <v>1</v>
      </c>
      <c r="AR80" s="17"/>
      <c r="AS80" s="42" t="n">
        <f aca="false">IF(SUM(AT80:AY80)&gt;0, 1, "")</f>
        <v>1</v>
      </c>
      <c r="AT80" s="17"/>
      <c r="AU80" s="17"/>
      <c r="AV80" s="17" t="n">
        <v>1</v>
      </c>
      <c r="AW80" s="17" t="n">
        <v>1</v>
      </c>
      <c r="AX80" s="17" t="n">
        <v>1</v>
      </c>
      <c r="AY80" s="17"/>
      <c r="AZ80" s="42" t="n">
        <f aca="false">IF(SUM(BA80:BF80)&gt;0, 1, "")</f>
        <v>1</v>
      </c>
      <c r="BA80" s="17"/>
      <c r="BB80" s="17"/>
      <c r="BC80" s="17" t="n">
        <v>1</v>
      </c>
      <c r="BD80" s="17" t="n">
        <v>1</v>
      </c>
      <c r="BE80" s="17" t="n">
        <v>1</v>
      </c>
      <c r="BF80" s="17"/>
      <c r="BG80" s="42" t="n">
        <f aca="false">IF(SUM(BH80:BM80)&gt;0, 1, "")</f>
        <v>1</v>
      </c>
      <c r="BH80" s="17"/>
      <c r="BI80" s="17"/>
      <c r="BJ80" s="17" t="n">
        <v>1</v>
      </c>
      <c r="BK80" s="17" t="n">
        <v>1</v>
      </c>
      <c r="BL80" s="17" t="n">
        <v>1</v>
      </c>
      <c r="BM80" s="17"/>
    </row>
    <row r="81" customFormat="false" ht="15" hidden="false" customHeight="false" outlineLevel="0" collapsed="false">
      <c r="A81" s="17" t="s">
        <v>226</v>
      </c>
      <c r="B81" s="17" t="s">
        <v>227</v>
      </c>
      <c r="C81" s="42" t="n">
        <f aca="false">IF(SUM(D81:I81)&gt;0, 1, "")</f>
        <v>1</v>
      </c>
      <c r="D81" s="17"/>
      <c r="E81" s="17"/>
      <c r="F81" s="17" t="n">
        <v>1</v>
      </c>
      <c r="G81" s="17" t="n">
        <v>1</v>
      </c>
      <c r="H81" s="17" t="n">
        <v>1</v>
      </c>
      <c r="I81" s="17"/>
      <c r="J81" s="42" t="n">
        <f aca="false">IF(SUM(K81:P81)&gt;0, 1, "")</f>
        <v>1</v>
      </c>
      <c r="K81" s="17"/>
      <c r="L81" s="17"/>
      <c r="M81" s="17" t="n">
        <v>1</v>
      </c>
      <c r="N81" s="17" t="n">
        <v>1</v>
      </c>
      <c r="O81" s="17" t="n">
        <v>1</v>
      </c>
      <c r="P81" s="17"/>
      <c r="Q81" s="42" t="n">
        <f aca="false">IF(SUM(R81:W81)&gt;0, 1, "")</f>
        <v>1</v>
      </c>
      <c r="R81" s="17"/>
      <c r="S81" s="17"/>
      <c r="T81" s="17" t="n">
        <v>1</v>
      </c>
      <c r="U81" s="17" t="n">
        <v>1</v>
      </c>
      <c r="V81" s="17" t="n">
        <v>1</v>
      </c>
      <c r="W81" s="17"/>
      <c r="X81" s="42" t="n">
        <f aca="false">IF(SUM(Y81:AD81)&gt;0, 1, "")</f>
        <v>1</v>
      </c>
      <c r="Y81" s="17"/>
      <c r="Z81" s="17"/>
      <c r="AA81" s="17" t="n">
        <v>1</v>
      </c>
      <c r="AB81" s="17" t="n">
        <v>1</v>
      </c>
      <c r="AC81" s="17" t="n">
        <v>1</v>
      </c>
      <c r="AD81" s="17"/>
      <c r="AE81" s="42" t="n">
        <f aca="false">IF(SUM(AF81:AK81)&gt;0, 1, "")</f>
        <v>1</v>
      </c>
      <c r="AF81" s="17"/>
      <c r="AG81" s="17"/>
      <c r="AH81" s="17" t="n">
        <v>1</v>
      </c>
      <c r="AI81" s="17" t="n">
        <v>1</v>
      </c>
      <c r="AJ81" s="17" t="n">
        <v>1</v>
      </c>
      <c r="AK81" s="17"/>
      <c r="AL81" s="42" t="n">
        <f aca="false">IF(SUM(AM81:AR81)&gt;0, 1, "")</f>
        <v>1</v>
      </c>
      <c r="AM81" s="17"/>
      <c r="AN81" s="17"/>
      <c r="AO81" s="17" t="n">
        <v>1</v>
      </c>
      <c r="AP81" s="17" t="n">
        <v>1</v>
      </c>
      <c r="AQ81" s="17" t="n">
        <v>1</v>
      </c>
      <c r="AR81" s="17"/>
      <c r="AS81" s="42" t="n">
        <f aca="false">IF(SUM(AT81:AY81)&gt;0, 1, "")</f>
        <v>1</v>
      </c>
      <c r="AT81" s="17"/>
      <c r="AU81" s="17"/>
      <c r="AV81" s="17" t="n">
        <v>1</v>
      </c>
      <c r="AW81" s="17" t="n">
        <v>1</v>
      </c>
      <c r="AX81" s="17" t="n">
        <v>1</v>
      </c>
      <c r="AY81" s="17"/>
      <c r="AZ81" s="42" t="n">
        <f aca="false">IF(SUM(BA81:BF81)&gt;0, 1, "")</f>
        <v>1</v>
      </c>
      <c r="BA81" s="17"/>
      <c r="BB81" s="17"/>
      <c r="BC81" s="17" t="n">
        <v>1</v>
      </c>
      <c r="BD81" s="17" t="n">
        <v>1</v>
      </c>
      <c r="BE81" s="17" t="n">
        <v>1</v>
      </c>
      <c r="BF81" s="17"/>
      <c r="BG81" s="42" t="n">
        <f aca="false">IF(SUM(BH81:BM81)&gt;0, 1, "")</f>
        <v>1</v>
      </c>
      <c r="BH81" s="17"/>
      <c r="BI81" s="17"/>
      <c r="BJ81" s="17" t="n">
        <v>1</v>
      </c>
      <c r="BK81" s="17" t="n">
        <v>1</v>
      </c>
      <c r="BL81" s="17" t="n">
        <v>1</v>
      </c>
      <c r="BM81" s="17"/>
    </row>
    <row r="82" customFormat="false" ht="15" hidden="false" customHeight="false" outlineLevel="0" collapsed="false">
      <c r="A82" s="17" t="s">
        <v>228</v>
      </c>
      <c r="B82" s="17" t="s">
        <v>229</v>
      </c>
      <c r="C82" s="42" t="str">
        <f aca="false">IF(SUM(D82:I82)&gt;0, 1, "")</f>
        <v/>
      </c>
      <c r="D82" s="17"/>
      <c r="E82" s="17"/>
      <c r="F82" s="17"/>
      <c r="G82" s="17"/>
      <c r="H82" s="17"/>
      <c r="I82" s="17"/>
      <c r="J82" s="42" t="str">
        <f aca="false">IF(SUM(K82:P82)&gt;0, 1, "")</f>
        <v/>
      </c>
      <c r="K82" s="17"/>
      <c r="L82" s="17"/>
      <c r="M82" s="17"/>
      <c r="N82" s="17"/>
      <c r="O82" s="17"/>
      <c r="P82" s="17"/>
      <c r="Q82" s="42" t="str">
        <f aca="false">IF(SUM(R82:W82)&gt;0, 1, "")</f>
        <v/>
      </c>
      <c r="R82" s="17"/>
      <c r="S82" s="17"/>
      <c r="T82" s="17"/>
      <c r="U82" s="17"/>
      <c r="V82" s="17"/>
      <c r="W82" s="17"/>
      <c r="X82" s="42" t="str">
        <f aca="false">IF(SUM(Y82:AD82)&gt;0, 1, "")</f>
        <v/>
      </c>
      <c r="Y82" s="17"/>
      <c r="Z82" s="17"/>
      <c r="AA82" s="17"/>
      <c r="AB82" s="17"/>
      <c r="AC82" s="17"/>
      <c r="AD82" s="17"/>
      <c r="AE82" s="42" t="str">
        <f aca="false">IF(SUM(AF82:AK82)&gt;0, 1, "")</f>
        <v/>
      </c>
      <c r="AF82" s="17"/>
      <c r="AG82" s="17"/>
      <c r="AH82" s="17"/>
      <c r="AI82" s="17"/>
      <c r="AJ82" s="17"/>
      <c r="AK82" s="17"/>
      <c r="AL82" s="42" t="str">
        <f aca="false">IF(SUM(AM82:AR82)&gt;0, 1, "")</f>
        <v/>
      </c>
      <c r="AM82" s="17"/>
      <c r="AN82" s="17"/>
      <c r="AO82" s="17"/>
      <c r="AP82" s="17"/>
      <c r="AQ82" s="17"/>
      <c r="AR82" s="17"/>
      <c r="AS82" s="42" t="str">
        <f aca="false">IF(SUM(AT82:AY82)&gt;0, 1, "")</f>
        <v/>
      </c>
      <c r="AT82" s="17"/>
      <c r="AU82" s="17"/>
      <c r="AV82" s="17"/>
      <c r="AW82" s="17"/>
      <c r="AX82" s="17"/>
      <c r="AY82" s="17"/>
      <c r="AZ82" s="42" t="str">
        <f aca="false">IF(SUM(BA82:BF82)&gt;0, 1, "")</f>
        <v/>
      </c>
      <c r="BA82" s="17"/>
      <c r="BB82" s="17"/>
      <c r="BC82" s="17"/>
      <c r="BD82" s="17"/>
      <c r="BE82" s="17"/>
      <c r="BF82" s="17"/>
      <c r="BG82" s="42" t="str">
        <f aca="false">IF(SUM(BH82:BM82)&gt;0, 1, "")</f>
        <v/>
      </c>
      <c r="BH82" s="17"/>
      <c r="BI82" s="17"/>
      <c r="BJ82" s="17"/>
      <c r="BK82" s="17"/>
      <c r="BL82" s="17"/>
      <c r="BM82" s="17"/>
    </row>
    <row r="83" customFormat="false" ht="15" hidden="false" customHeight="false" outlineLevel="0" collapsed="false">
      <c r="A83" s="17" t="s">
        <v>230</v>
      </c>
      <c r="B83" s="17" t="s">
        <v>231</v>
      </c>
      <c r="C83" s="42" t="str">
        <f aca="false">IF(SUM(D83:I83)&gt;0, 1, "")</f>
        <v/>
      </c>
      <c r="D83" s="17"/>
      <c r="E83" s="17"/>
      <c r="F83" s="17"/>
      <c r="G83" s="17"/>
      <c r="H83" s="17"/>
      <c r="I83" s="17"/>
      <c r="J83" s="42" t="str">
        <f aca="false">IF(SUM(K83:P83)&gt;0, 1, "")</f>
        <v/>
      </c>
      <c r="K83" s="17"/>
      <c r="L83" s="17"/>
      <c r="M83" s="17"/>
      <c r="N83" s="17"/>
      <c r="O83" s="17"/>
      <c r="P83" s="17"/>
      <c r="Q83" s="42" t="str">
        <f aca="false">IF(SUM(R83:W83)&gt;0, 1, "")</f>
        <v/>
      </c>
      <c r="R83" s="17"/>
      <c r="S83" s="17"/>
      <c r="T83" s="17"/>
      <c r="U83" s="17"/>
      <c r="V83" s="17"/>
      <c r="W83" s="17"/>
      <c r="X83" s="42" t="str">
        <f aca="false">IF(SUM(Y83:AD83)&gt;0, 1, "")</f>
        <v/>
      </c>
      <c r="Y83" s="17"/>
      <c r="Z83" s="17"/>
      <c r="AA83" s="17"/>
      <c r="AB83" s="17"/>
      <c r="AC83" s="17"/>
      <c r="AD83" s="17"/>
      <c r="AE83" s="42" t="str">
        <f aca="false">IF(SUM(AF83:AK83)&gt;0, 1, "")</f>
        <v/>
      </c>
      <c r="AF83" s="17"/>
      <c r="AG83" s="17"/>
      <c r="AH83" s="17"/>
      <c r="AI83" s="17"/>
      <c r="AJ83" s="17"/>
      <c r="AK83" s="17"/>
      <c r="AL83" s="42" t="str">
        <f aca="false">IF(SUM(AM83:AR83)&gt;0, 1, "")</f>
        <v/>
      </c>
      <c r="AM83" s="17"/>
      <c r="AN83" s="17"/>
      <c r="AO83" s="17"/>
      <c r="AP83" s="17"/>
      <c r="AQ83" s="17"/>
      <c r="AR83" s="17"/>
      <c r="AS83" s="42" t="str">
        <f aca="false">IF(SUM(AT83:AY83)&gt;0, 1, "")</f>
        <v/>
      </c>
      <c r="AT83" s="17"/>
      <c r="AU83" s="17"/>
      <c r="AV83" s="17"/>
      <c r="AW83" s="17"/>
      <c r="AX83" s="17"/>
      <c r="AY83" s="17"/>
      <c r="AZ83" s="42" t="str">
        <f aca="false">IF(SUM(BA83:BF83)&gt;0, 1, "")</f>
        <v/>
      </c>
      <c r="BA83" s="17"/>
      <c r="BB83" s="17"/>
      <c r="BC83" s="17"/>
      <c r="BD83" s="17"/>
      <c r="BE83" s="17"/>
      <c r="BF83" s="17"/>
      <c r="BG83" s="42" t="str">
        <f aca="false">IF(SUM(BH83:BM83)&gt;0, 1, "")</f>
        <v/>
      </c>
      <c r="BH83" s="17"/>
      <c r="BI83" s="17"/>
      <c r="BJ83" s="17"/>
      <c r="BK83" s="17"/>
      <c r="BL83" s="17"/>
      <c r="BM83" s="17"/>
    </row>
    <row r="84" customFormat="false" ht="15" hidden="false" customHeight="false" outlineLevel="0" collapsed="false">
      <c r="A84" s="17" t="s">
        <v>232</v>
      </c>
      <c r="B84" s="17" t="s">
        <v>233</v>
      </c>
      <c r="C84" s="42" t="n">
        <f aca="false">IF(SUM(D84:I84)&gt;0, 1, "")</f>
        <v>1</v>
      </c>
      <c r="D84" s="17"/>
      <c r="E84" s="17"/>
      <c r="F84" s="17"/>
      <c r="G84" s="17"/>
      <c r="H84" s="17"/>
      <c r="I84" s="17" t="n">
        <v>1</v>
      </c>
      <c r="J84" s="42" t="n">
        <f aca="false">IF(SUM(K84:P84)&gt;0, 1, "")</f>
        <v>1</v>
      </c>
      <c r="K84" s="17"/>
      <c r="L84" s="17"/>
      <c r="M84" s="17"/>
      <c r="N84" s="17"/>
      <c r="O84" s="17"/>
      <c r="P84" s="17" t="n">
        <v>1</v>
      </c>
      <c r="Q84" s="42" t="n">
        <f aca="false">IF(SUM(R84:W84)&gt;0, 1, "")</f>
        <v>1</v>
      </c>
      <c r="R84" s="17"/>
      <c r="S84" s="17"/>
      <c r="T84" s="17"/>
      <c r="U84" s="17"/>
      <c r="V84" s="17"/>
      <c r="W84" s="17" t="n">
        <v>1</v>
      </c>
      <c r="X84" s="42" t="n">
        <f aca="false">IF(SUM(Y84:AD84)&gt;0, 1, "")</f>
        <v>1</v>
      </c>
      <c r="Y84" s="17"/>
      <c r="Z84" s="17"/>
      <c r="AA84" s="17"/>
      <c r="AB84" s="17"/>
      <c r="AC84" s="17"/>
      <c r="AD84" s="17" t="n">
        <v>1</v>
      </c>
      <c r="AE84" s="42" t="n">
        <f aca="false">IF(SUM(AF84:AK84)&gt;0, 1, "")</f>
        <v>1</v>
      </c>
      <c r="AF84" s="17"/>
      <c r="AG84" s="17"/>
      <c r="AH84" s="17"/>
      <c r="AI84" s="17"/>
      <c r="AJ84" s="17"/>
      <c r="AK84" s="17" t="n">
        <v>1</v>
      </c>
      <c r="AL84" s="42" t="n">
        <f aca="false">IF(SUM(AM84:AR84)&gt;0, 1, "")</f>
        <v>1</v>
      </c>
      <c r="AM84" s="17"/>
      <c r="AN84" s="17"/>
      <c r="AO84" s="17"/>
      <c r="AP84" s="17"/>
      <c r="AQ84" s="17"/>
      <c r="AR84" s="17" t="n">
        <v>1</v>
      </c>
      <c r="AS84" s="42" t="n">
        <f aca="false">IF(SUM(AT84:AY84)&gt;0, 1, "")</f>
        <v>1</v>
      </c>
      <c r="AT84" s="17"/>
      <c r="AU84" s="17"/>
      <c r="AV84" s="17"/>
      <c r="AW84" s="17"/>
      <c r="AX84" s="17"/>
      <c r="AY84" s="17" t="n">
        <v>1</v>
      </c>
      <c r="AZ84" s="42" t="n">
        <f aca="false">IF(SUM(BA84:BF84)&gt;0, 1, "")</f>
        <v>1</v>
      </c>
      <c r="BA84" s="17"/>
      <c r="BB84" s="17"/>
      <c r="BC84" s="17"/>
      <c r="BD84" s="17"/>
      <c r="BE84" s="17"/>
      <c r="BF84" s="17" t="n">
        <v>1</v>
      </c>
      <c r="BG84" s="42" t="n">
        <f aca="false">IF(SUM(BH84:BM84)&gt;0, 1, "")</f>
        <v>1</v>
      </c>
      <c r="BH84" s="17"/>
      <c r="BI84" s="17"/>
      <c r="BJ84" s="17"/>
      <c r="BK84" s="17"/>
      <c r="BL84" s="17"/>
      <c r="BM84" s="17" t="n">
        <v>1</v>
      </c>
    </row>
    <row r="85" customFormat="false" ht="15" hidden="false" customHeight="false" outlineLevel="0" collapsed="false">
      <c r="A85" s="17" t="s">
        <v>234</v>
      </c>
      <c r="B85" s="17" t="s">
        <v>235</v>
      </c>
      <c r="C85" s="42" t="n">
        <f aca="false">IF(SUM(D85:I85)&gt;0, 1, "")</f>
        <v>1</v>
      </c>
      <c r="D85" s="17"/>
      <c r="E85" s="17"/>
      <c r="F85" s="17"/>
      <c r="G85" s="17"/>
      <c r="H85" s="17"/>
      <c r="I85" s="17" t="n">
        <v>1</v>
      </c>
      <c r="J85" s="42" t="n">
        <f aca="false">IF(SUM(K85:P85)&gt;0, 1, "")</f>
        <v>1</v>
      </c>
      <c r="K85" s="17"/>
      <c r="L85" s="17"/>
      <c r="M85" s="17"/>
      <c r="N85" s="17"/>
      <c r="O85" s="17"/>
      <c r="P85" s="17" t="n">
        <v>1</v>
      </c>
      <c r="Q85" s="42" t="n">
        <f aca="false">IF(SUM(R85:W85)&gt;0, 1, "")</f>
        <v>1</v>
      </c>
      <c r="R85" s="17"/>
      <c r="S85" s="17"/>
      <c r="T85" s="17"/>
      <c r="U85" s="17"/>
      <c r="V85" s="17"/>
      <c r="W85" s="17" t="n">
        <v>1</v>
      </c>
      <c r="X85" s="42" t="n">
        <f aca="false">IF(SUM(Y85:AD85)&gt;0, 1, "")</f>
        <v>1</v>
      </c>
      <c r="Y85" s="17"/>
      <c r="Z85" s="17"/>
      <c r="AA85" s="17"/>
      <c r="AB85" s="17"/>
      <c r="AC85" s="17"/>
      <c r="AD85" s="17" t="n">
        <v>1</v>
      </c>
      <c r="AE85" s="42" t="n">
        <f aca="false">IF(SUM(AF85:AK85)&gt;0, 1, "")</f>
        <v>1</v>
      </c>
      <c r="AF85" s="17"/>
      <c r="AG85" s="17"/>
      <c r="AH85" s="17"/>
      <c r="AI85" s="17"/>
      <c r="AJ85" s="17"/>
      <c r="AK85" s="17" t="n">
        <v>1</v>
      </c>
      <c r="AL85" s="42" t="n">
        <f aca="false">IF(SUM(AM85:AR85)&gt;0, 1, "")</f>
        <v>1</v>
      </c>
      <c r="AM85" s="17"/>
      <c r="AN85" s="17"/>
      <c r="AO85" s="17"/>
      <c r="AP85" s="17"/>
      <c r="AQ85" s="17"/>
      <c r="AR85" s="17" t="n">
        <v>1</v>
      </c>
      <c r="AS85" s="42" t="n">
        <f aca="false">IF(SUM(AT85:AY85)&gt;0, 1, "")</f>
        <v>1</v>
      </c>
      <c r="AT85" s="17"/>
      <c r="AU85" s="17"/>
      <c r="AV85" s="17"/>
      <c r="AW85" s="17"/>
      <c r="AX85" s="17"/>
      <c r="AY85" s="17" t="n">
        <v>1</v>
      </c>
      <c r="AZ85" s="42" t="n">
        <f aca="false">IF(SUM(BA85:BF85)&gt;0, 1, "")</f>
        <v>1</v>
      </c>
      <c r="BA85" s="17"/>
      <c r="BB85" s="17"/>
      <c r="BC85" s="17"/>
      <c r="BD85" s="17"/>
      <c r="BE85" s="17"/>
      <c r="BF85" s="17" t="n">
        <v>1</v>
      </c>
      <c r="BG85" s="42" t="n">
        <f aca="false">IF(SUM(BH85:BM85)&gt;0, 1, "")</f>
        <v>1</v>
      </c>
      <c r="BH85" s="17"/>
      <c r="BI85" s="17"/>
      <c r="BJ85" s="17"/>
      <c r="BK85" s="17"/>
      <c r="BL85" s="17"/>
      <c r="BM85" s="17" t="n">
        <v>1</v>
      </c>
    </row>
    <row r="86" customFormat="false" ht="15" hidden="false" customHeight="false" outlineLevel="0" collapsed="false">
      <c r="A86" s="17" t="s">
        <v>236</v>
      </c>
      <c r="B86" s="17" t="s">
        <v>237</v>
      </c>
      <c r="C86" s="42" t="n">
        <f aca="false">IF(SUM(D86:I86)&gt;0, 1, "")</f>
        <v>1</v>
      </c>
      <c r="D86" s="17"/>
      <c r="E86" s="17"/>
      <c r="F86" s="17"/>
      <c r="G86" s="17"/>
      <c r="H86" s="17"/>
      <c r="I86" s="17" t="n">
        <v>1</v>
      </c>
      <c r="J86" s="42" t="n">
        <f aca="false">IF(SUM(K86:P86)&gt;0, 1, "")</f>
        <v>1</v>
      </c>
      <c r="K86" s="17"/>
      <c r="L86" s="17"/>
      <c r="M86" s="17"/>
      <c r="N86" s="17"/>
      <c r="O86" s="17"/>
      <c r="P86" s="17" t="n">
        <v>1</v>
      </c>
      <c r="Q86" s="42" t="n">
        <f aca="false">IF(SUM(R86:W86)&gt;0, 1, "")</f>
        <v>1</v>
      </c>
      <c r="R86" s="17"/>
      <c r="S86" s="17"/>
      <c r="T86" s="17"/>
      <c r="U86" s="17"/>
      <c r="V86" s="17"/>
      <c r="W86" s="17" t="n">
        <v>1</v>
      </c>
      <c r="X86" s="42" t="n">
        <f aca="false">IF(SUM(Y86:AD86)&gt;0, 1, "")</f>
        <v>1</v>
      </c>
      <c r="Y86" s="17"/>
      <c r="Z86" s="17"/>
      <c r="AA86" s="17"/>
      <c r="AB86" s="17"/>
      <c r="AC86" s="17"/>
      <c r="AD86" s="17" t="n">
        <v>1</v>
      </c>
      <c r="AE86" s="42" t="n">
        <f aca="false">IF(SUM(AF86:AK86)&gt;0, 1, "")</f>
        <v>1</v>
      </c>
      <c r="AF86" s="17"/>
      <c r="AG86" s="17"/>
      <c r="AH86" s="17"/>
      <c r="AI86" s="17"/>
      <c r="AJ86" s="17"/>
      <c r="AK86" s="17" t="n">
        <v>1</v>
      </c>
      <c r="AL86" s="42" t="n">
        <f aca="false">IF(SUM(AM86:AR86)&gt;0, 1, "")</f>
        <v>1</v>
      </c>
      <c r="AM86" s="17"/>
      <c r="AN86" s="17"/>
      <c r="AO86" s="17"/>
      <c r="AP86" s="17"/>
      <c r="AQ86" s="17"/>
      <c r="AR86" s="17" t="n">
        <v>1</v>
      </c>
      <c r="AS86" s="42" t="n">
        <f aca="false">IF(SUM(AT86:AY86)&gt;0, 1, "")</f>
        <v>1</v>
      </c>
      <c r="AT86" s="17"/>
      <c r="AU86" s="17"/>
      <c r="AV86" s="17"/>
      <c r="AW86" s="17"/>
      <c r="AX86" s="17"/>
      <c r="AY86" s="17" t="n">
        <v>1</v>
      </c>
      <c r="AZ86" s="42" t="n">
        <f aca="false">IF(SUM(BA86:BF86)&gt;0, 1, "")</f>
        <v>1</v>
      </c>
      <c r="BA86" s="17"/>
      <c r="BB86" s="17"/>
      <c r="BC86" s="17"/>
      <c r="BD86" s="17"/>
      <c r="BE86" s="17"/>
      <c r="BF86" s="17" t="n">
        <v>1</v>
      </c>
      <c r="BG86" s="42" t="n">
        <f aca="false">IF(SUM(BH86:BM86)&gt;0, 1, "")</f>
        <v>1</v>
      </c>
      <c r="BH86" s="17"/>
      <c r="BI86" s="17"/>
      <c r="BJ86" s="17"/>
      <c r="BK86" s="17"/>
      <c r="BL86" s="17"/>
      <c r="BM86" s="17" t="n">
        <v>1</v>
      </c>
    </row>
    <row r="87" customFormat="false" ht="15" hidden="false" customHeight="false" outlineLevel="0" collapsed="false">
      <c r="A87" s="17" t="s">
        <v>238</v>
      </c>
      <c r="B87" s="17" t="s">
        <v>239</v>
      </c>
      <c r="C87" s="42" t="n">
        <f aca="false">IF(SUM(D87:I87)&gt;0, 1, "")</f>
        <v>1</v>
      </c>
      <c r="D87" s="17"/>
      <c r="E87" s="17"/>
      <c r="F87" s="17"/>
      <c r="G87" s="17"/>
      <c r="H87" s="17"/>
      <c r="I87" s="17" t="n">
        <v>1</v>
      </c>
      <c r="J87" s="42" t="n">
        <f aca="false">IF(SUM(K87:P87)&gt;0, 1, "")</f>
        <v>1</v>
      </c>
      <c r="K87" s="17"/>
      <c r="L87" s="17"/>
      <c r="M87" s="17"/>
      <c r="N87" s="17"/>
      <c r="O87" s="17"/>
      <c r="P87" s="17" t="n">
        <v>1</v>
      </c>
      <c r="Q87" s="42" t="n">
        <f aca="false">IF(SUM(R87:W87)&gt;0, 1, "")</f>
        <v>1</v>
      </c>
      <c r="R87" s="17"/>
      <c r="S87" s="17"/>
      <c r="T87" s="17"/>
      <c r="U87" s="17"/>
      <c r="V87" s="17"/>
      <c r="W87" s="17" t="n">
        <v>1</v>
      </c>
      <c r="X87" s="42" t="n">
        <f aca="false">IF(SUM(Y87:AD87)&gt;0, 1, "")</f>
        <v>1</v>
      </c>
      <c r="Y87" s="17"/>
      <c r="Z87" s="17"/>
      <c r="AA87" s="17"/>
      <c r="AB87" s="17"/>
      <c r="AC87" s="17"/>
      <c r="AD87" s="17" t="n">
        <v>1</v>
      </c>
      <c r="AE87" s="42" t="n">
        <f aca="false">IF(SUM(AF87:AK87)&gt;0, 1, "")</f>
        <v>1</v>
      </c>
      <c r="AF87" s="17"/>
      <c r="AG87" s="17"/>
      <c r="AH87" s="17"/>
      <c r="AI87" s="17"/>
      <c r="AJ87" s="17"/>
      <c r="AK87" s="17" t="n">
        <v>1</v>
      </c>
      <c r="AL87" s="42" t="n">
        <f aca="false">IF(SUM(AM87:AR87)&gt;0, 1, "")</f>
        <v>1</v>
      </c>
      <c r="AM87" s="17"/>
      <c r="AN87" s="17"/>
      <c r="AO87" s="17"/>
      <c r="AP87" s="17"/>
      <c r="AQ87" s="17"/>
      <c r="AR87" s="17" t="n">
        <v>1</v>
      </c>
      <c r="AS87" s="42" t="n">
        <f aca="false">IF(SUM(AT87:AY87)&gt;0, 1, "")</f>
        <v>1</v>
      </c>
      <c r="AT87" s="17"/>
      <c r="AU87" s="17"/>
      <c r="AV87" s="17"/>
      <c r="AW87" s="17"/>
      <c r="AX87" s="17"/>
      <c r="AY87" s="17" t="n">
        <v>1</v>
      </c>
      <c r="AZ87" s="42" t="n">
        <f aca="false">IF(SUM(BA87:BF87)&gt;0, 1, "")</f>
        <v>1</v>
      </c>
      <c r="BA87" s="17"/>
      <c r="BB87" s="17"/>
      <c r="BC87" s="17"/>
      <c r="BD87" s="17"/>
      <c r="BE87" s="17"/>
      <c r="BF87" s="17" t="n">
        <v>1</v>
      </c>
      <c r="BG87" s="42" t="n">
        <f aca="false">IF(SUM(BH87:BM87)&gt;0, 1, "")</f>
        <v>1</v>
      </c>
      <c r="BH87" s="17"/>
      <c r="BI87" s="17"/>
      <c r="BJ87" s="17"/>
      <c r="BK87" s="17"/>
      <c r="BL87" s="17"/>
      <c r="BM87" s="17" t="n">
        <v>1</v>
      </c>
    </row>
    <row r="88" customFormat="false" ht="15" hidden="false" customHeight="false" outlineLevel="0" collapsed="false">
      <c r="A88" s="17" t="s">
        <v>240</v>
      </c>
      <c r="B88" s="17" t="s">
        <v>241</v>
      </c>
      <c r="C88" s="42" t="n">
        <f aca="false">IF(SUM(D88:I88)&gt;0, 1, "")</f>
        <v>1</v>
      </c>
      <c r="D88" s="17"/>
      <c r="E88" s="17"/>
      <c r="F88" s="17"/>
      <c r="G88" s="17"/>
      <c r="H88" s="17"/>
      <c r="I88" s="17" t="n">
        <v>1</v>
      </c>
      <c r="J88" s="42" t="n">
        <f aca="false">IF(SUM(K88:P88)&gt;0, 1, "")</f>
        <v>1</v>
      </c>
      <c r="K88" s="17"/>
      <c r="L88" s="17"/>
      <c r="M88" s="17"/>
      <c r="N88" s="17"/>
      <c r="O88" s="17"/>
      <c r="P88" s="17" t="n">
        <v>1</v>
      </c>
      <c r="Q88" s="42" t="n">
        <f aca="false">IF(SUM(R88:W88)&gt;0, 1, "")</f>
        <v>1</v>
      </c>
      <c r="R88" s="17"/>
      <c r="S88" s="17"/>
      <c r="T88" s="17"/>
      <c r="U88" s="17"/>
      <c r="V88" s="17"/>
      <c r="W88" s="17" t="n">
        <v>1</v>
      </c>
      <c r="X88" s="42" t="n">
        <f aca="false">IF(SUM(Y88:AD88)&gt;0, 1, "")</f>
        <v>1</v>
      </c>
      <c r="Y88" s="17"/>
      <c r="Z88" s="17"/>
      <c r="AA88" s="17"/>
      <c r="AB88" s="17"/>
      <c r="AC88" s="17"/>
      <c r="AD88" s="17" t="n">
        <v>1</v>
      </c>
      <c r="AE88" s="42" t="n">
        <f aca="false">IF(SUM(AF88:AK88)&gt;0, 1, "")</f>
        <v>1</v>
      </c>
      <c r="AF88" s="17"/>
      <c r="AG88" s="17"/>
      <c r="AH88" s="17"/>
      <c r="AI88" s="17"/>
      <c r="AJ88" s="17"/>
      <c r="AK88" s="17" t="n">
        <v>1</v>
      </c>
      <c r="AL88" s="42" t="n">
        <f aca="false">IF(SUM(AM88:AR88)&gt;0, 1, "")</f>
        <v>1</v>
      </c>
      <c r="AM88" s="17"/>
      <c r="AN88" s="17"/>
      <c r="AO88" s="17"/>
      <c r="AP88" s="17"/>
      <c r="AQ88" s="17"/>
      <c r="AR88" s="17" t="n">
        <v>1</v>
      </c>
      <c r="AS88" s="42" t="n">
        <f aca="false">IF(SUM(AT88:AY88)&gt;0, 1, "")</f>
        <v>1</v>
      </c>
      <c r="AT88" s="17"/>
      <c r="AU88" s="17"/>
      <c r="AV88" s="17"/>
      <c r="AW88" s="17"/>
      <c r="AX88" s="17"/>
      <c r="AY88" s="17" t="n">
        <v>1</v>
      </c>
      <c r="AZ88" s="42" t="n">
        <f aca="false">IF(SUM(BA88:BF88)&gt;0, 1, "")</f>
        <v>1</v>
      </c>
      <c r="BA88" s="17"/>
      <c r="BB88" s="17"/>
      <c r="BC88" s="17"/>
      <c r="BD88" s="17"/>
      <c r="BE88" s="17"/>
      <c r="BF88" s="17" t="n">
        <v>1</v>
      </c>
      <c r="BG88" s="42" t="n">
        <f aca="false">IF(SUM(BH88:BM88)&gt;0, 1, "")</f>
        <v>1</v>
      </c>
      <c r="BH88" s="17"/>
      <c r="BI88" s="17"/>
      <c r="BJ88" s="17"/>
      <c r="BK88" s="17"/>
      <c r="BL88" s="17"/>
      <c r="BM88" s="17" t="n">
        <v>1</v>
      </c>
    </row>
    <row r="89" customFormat="false" ht="15" hidden="false" customHeight="false" outlineLevel="0" collapsed="false">
      <c r="A89" s="17" t="s">
        <v>242</v>
      </c>
      <c r="B89" s="17" t="s">
        <v>243</v>
      </c>
      <c r="C89" s="42" t="n">
        <f aca="false">IF(SUM(D89:I89)&gt;0, 1, "")</f>
        <v>1</v>
      </c>
      <c r="D89" s="17"/>
      <c r="E89" s="17"/>
      <c r="F89" s="17"/>
      <c r="G89" s="17"/>
      <c r="H89" s="17"/>
      <c r="I89" s="17" t="n">
        <v>1</v>
      </c>
      <c r="J89" s="42" t="n">
        <f aca="false">IF(SUM(K89:P89)&gt;0, 1, "")</f>
        <v>1</v>
      </c>
      <c r="K89" s="17"/>
      <c r="L89" s="17"/>
      <c r="M89" s="17"/>
      <c r="N89" s="17"/>
      <c r="O89" s="17"/>
      <c r="P89" s="17" t="n">
        <v>1</v>
      </c>
      <c r="Q89" s="42" t="n">
        <f aca="false">IF(SUM(R89:W89)&gt;0, 1, "")</f>
        <v>1</v>
      </c>
      <c r="R89" s="17"/>
      <c r="S89" s="17"/>
      <c r="T89" s="17"/>
      <c r="U89" s="17"/>
      <c r="V89" s="17"/>
      <c r="W89" s="17" t="n">
        <v>1</v>
      </c>
      <c r="X89" s="42" t="n">
        <f aca="false">IF(SUM(Y89:AD89)&gt;0, 1, "")</f>
        <v>1</v>
      </c>
      <c r="Y89" s="17"/>
      <c r="Z89" s="17"/>
      <c r="AA89" s="17"/>
      <c r="AB89" s="17"/>
      <c r="AC89" s="17"/>
      <c r="AD89" s="17" t="n">
        <v>1</v>
      </c>
      <c r="AE89" s="42" t="n">
        <f aca="false">IF(SUM(AF89:AK89)&gt;0, 1, "")</f>
        <v>1</v>
      </c>
      <c r="AF89" s="17"/>
      <c r="AG89" s="17"/>
      <c r="AH89" s="17"/>
      <c r="AI89" s="17"/>
      <c r="AJ89" s="17"/>
      <c r="AK89" s="17" t="n">
        <v>1</v>
      </c>
      <c r="AL89" s="42" t="n">
        <f aca="false">IF(SUM(AM89:AR89)&gt;0, 1, "")</f>
        <v>1</v>
      </c>
      <c r="AM89" s="17"/>
      <c r="AN89" s="17"/>
      <c r="AO89" s="17"/>
      <c r="AP89" s="17"/>
      <c r="AQ89" s="17"/>
      <c r="AR89" s="17" t="n">
        <v>1</v>
      </c>
      <c r="AS89" s="42" t="n">
        <f aca="false">IF(SUM(AT89:AY89)&gt;0, 1, "")</f>
        <v>1</v>
      </c>
      <c r="AT89" s="17"/>
      <c r="AU89" s="17"/>
      <c r="AV89" s="17"/>
      <c r="AW89" s="17"/>
      <c r="AX89" s="17"/>
      <c r="AY89" s="17" t="n">
        <v>1</v>
      </c>
      <c r="AZ89" s="42" t="n">
        <f aca="false">IF(SUM(BA89:BF89)&gt;0, 1, "")</f>
        <v>1</v>
      </c>
      <c r="BA89" s="17"/>
      <c r="BB89" s="17"/>
      <c r="BC89" s="17"/>
      <c r="BD89" s="17"/>
      <c r="BE89" s="17"/>
      <c r="BF89" s="17" t="n">
        <v>1</v>
      </c>
      <c r="BG89" s="42" t="n">
        <f aca="false">IF(SUM(BH89:BM89)&gt;0, 1, "")</f>
        <v>1</v>
      </c>
      <c r="BH89" s="17"/>
      <c r="BI89" s="17"/>
      <c r="BJ89" s="17"/>
      <c r="BK89" s="17"/>
      <c r="BL89" s="17"/>
      <c r="BM89" s="17" t="n">
        <v>1</v>
      </c>
    </row>
    <row r="90" customFormat="false" ht="15" hidden="false" customHeight="false" outlineLevel="0" collapsed="false">
      <c r="A90" s="17" t="s">
        <v>244</v>
      </c>
      <c r="B90" s="17" t="s">
        <v>245</v>
      </c>
      <c r="C90" s="42" t="str">
        <f aca="false">IF(SUM(D90:I90)&gt;0, 1, "")</f>
        <v/>
      </c>
      <c r="D90" s="17"/>
      <c r="E90" s="17"/>
      <c r="F90" s="17"/>
      <c r="G90" s="17"/>
      <c r="H90" s="17"/>
      <c r="I90" s="17"/>
      <c r="J90" s="42" t="str">
        <f aca="false">IF(SUM(K90:P90)&gt;0, 1, "")</f>
        <v/>
      </c>
      <c r="K90" s="17"/>
      <c r="L90" s="17"/>
      <c r="M90" s="17"/>
      <c r="N90" s="17"/>
      <c r="O90" s="17"/>
      <c r="P90" s="17"/>
      <c r="Q90" s="42" t="str">
        <f aca="false">IF(SUM(R90:W90)&gt;0, 1, "")</f>
        <v/>
      </c>
      <c r="R90" s="17"/>
      <c r="S90" s="17"/>
      <c r="T90" s="17"/>
      <c r="U90" s="17"/>
      <c r="V90" s="17"/>
      <c r="W90" s="17"/>
      <c r="X90" s="42" t="str">
        <f aca="false">IF(SUM(Y90:AD90)&gt;0, 1, "")</f>
        <v/>
      </c>
      <c r="Y90" s="17"/>
      <c r="Z90" s="17"/>
      <c r="AA90" s="17"/>
      <c r="AB90" s="17"/>
      <c r="AC90" s="17"/>
      <c r="AD90" s="17"/>
      <c r="AE90" s="42" t="str">
        <f aca="false">IF(SUM(AF90:AK90)&gt;0, 1, "")</f>
        <v/>
      </c>
      <c r="AF90" s="17"/>
      <c r="AJ90" s="17"/>
      <c r="AK90" s="17"/>
      <c r="AL90" s="42" t="str">
        <f aca="false">IF(SUM(AM90:AR90)&gt;0, 1, "")</f>
        <v/>
      </c>
      <c r="AM90" s="17"/>
      <c r="AN90" s="17"/>
      <c r="AO90" s="17"/>
      <c r="AP90" s="17"/>
      <c r="AQ90" s="17"/>
      <c r="AR90" s="17"/>
      <c r="AS90" s="42" t="str">
        <f aca="false">IF(SUM(AT90:AY90)&gt;0, 1, "")</f>
        <v/>
      </c>
      <c r="AT90" s="17"/>
      <c r="AU90" s="17"/>
      <c r="AV90" s="17"/>
      <c r="AW90" s="17"/>
      <c r="AX90" s="17"/>
      <c r="AZ90" s="42" t="str">
        <f aca="false">IF(SUM(BA90:BF90)&gt;0, 1, "")</f>
        <v/>
      </c>
      <c r="BB90" s="17"/>
      <c r="BC90" s="17"/>
      <c r="BD90" s="17"/>
      <c r="BE90" s="17"/>
      <c r="BF90" s="17"/>
      <c r="BG90" s="42" t="str">
        <f aca="false">IF(SUM(BH90:BM90)&gt;0, 1, "")</f>
        <v/>
      </c>
      <c r="BH90" s="17"/>
      <c r="BI90" s="17"/>
      <c r="BJ90" s="17"/>
      <c r="BK90" s="17"/>
      <c r="BL90" s="17"/>
      <c r="BM90" s="17"/>
    </row>
    <row r="91" customFormat="false" ht="15" hidden="false" customHeight="false" outlineLevel="0" collapsed="false">
      <c r="A91" s="17" t="s">
        <v>246</v>
      </c>
      <c r="B91" s="17" t="s">
        <v>247</v>
      </c>
      <c r="C91" s="42" t="str">
        <f aca="false">IF(SUM(D91:I91)&gt;0, 1, "")</f>
        <v/>
      </c>
      <c r="D91" s="17"/>
      <c r="E91" s="17"/>
      <c r="F91" s="17"/>
      <c r="G91" s="17"/>
      <c r="H91" s="17"/>
      <c r="I91" s="17"/>
      <c r="J91" s="42" t="str">
        <f aca="false">IF(SUM(K91:P91)&gt;0, 1, "")</f>
        <v/>
      </c>
      <c r="K91" s="17"/>
      <c r="L91" s="17"/>
      <c r="M91" s="17"/>
      <c r="N91" s="17"/>
      <c r="O91" s="17"/>
      <c r="P91" s="17"/>
      <c r="Q91" s="42" t="str">
        <f aca="false">IF(SUM(R91:W91)&gt;0, 1, "")</f>
        <v/>
      </c>
      <c r="R91" s="17"/>
      <c r="S91" s="17"/>
      <c r="T91" s="17"/>
      <c r="U91" s="17"/>
      <c r="V91" s="17"/>
      <c r="W91" s="17"/>
      <c r="X91" s="42" t="str">
        <f aca="false">IF(SUM(Y91:AD91)&gt;0, 1, "")</f>
        <v/>
      </c>
      <c r="Y91" s="17"/>
      <c r="Z91" s="17"/>
      <c r="AA91" s="17"/>
      <c r="AB91" s="17"/>
      <c r="AC91" s="17"/>
      <c r="AD91" s="17"/>
      <c r="AE91" s="42" t="str">
        <f aca="false">IF(SUM(AF91:AK91)&gt;0, 1, "")</f>
        <v/>
      </c>
      <c r="AF91" s="17"/>
      <c r="AG91" s="17"/>
      <c r="AH91" s="17"/>
      <c r="AI91" s="17"/>
      <c r="AJ91" s="17"/>
      <c r="AK91" s="17"/>
      <c r="AL91" s="42" t="str">
        <f aca="false">IF(SUM(AM91:AR91)&gt;0, 1, "")</f>
        <v/>
      </c>
      <c r="AM91" s="17"/>
      <c r="AN91" s="17"/>
      <c r="AO91" s="17"/>
      <c r="AP91" s="17"/>
      <c r="AQ91" s="17"/>
      <c r="AR91" s="17"/>
      <c r="AS91" s="42" t="str">
        <f aca="false">IF(SUM(AT91:AY91)&gt;0, 1, "")</f>
        <v/>
      </c>
      <c r="AT91" s="17"/>
      <c r="AU91" s="17"/>
      <c r="AV91" s="17"/>
      <c r="AW91" s="17"/>
      <c r="AX91" s="17"/>
      <c r="AY91" s="17"/>
      <c r="AZ91" s="42" t="str">
        <f aca="false">IF(SUM(BA91:BF91)&gt;0, 1, "")</f>
        <v/>
      </c>
      <c r="BA91" s="17"/>
      <c r="BB91" s="17"/>
      <c r="BC91" s="17"/>
      <c r="BD91" s="17"/>
      <c r="BE91" s="17"/>
      <c r="BF91" s="17"/>
      <c r="BG91" s="42" t="str">
        <f aca="false">IF(SUM(BH91:BM91)&gt;0, 1, "")</f>
        <v/>
      </c>
      <c r="BH91" s="17"/>
      <c r="BI91" s="17"/>
      <c r="BJ91" s="17"/>
      <c r="BK91" s="17"/>
      <c r="BL91" s="17"/>
      <c r="BM91" s="17"/>
    </row>
    <row r="92" customFormat="false" ht="15" hidden="false" customHeight="false" outlineLevel="0" collapsed="false">
      <c r="A92" s="17" t="s">
        <v>248</v>
      </c>
      <c r="B92" s="17" t="s">
        <v>249</v>
      </c>
      <c r="C92" s="42" t="str">
        <f aca="false">IF(SUM(D92:I92)&gt;0, 1, "")</f>
        <v/>
      </c>
      <c r="D92" s="17"/>
      <c r="E92" s="17"/>
      <c r="F92" s="17"/>
      <c r="G92" s="17"/>
      <c r="H92" s="17"/>
      <c r="I92" s="17"/>
      <c r="J92" s="42" t="str">
        <f aca="false">IF(SUM(K92:P92)&gt;0, 1, "")</f>
        <v/>
      </c>
      <c r="K92" s="17"/>
      <c r="L92" s="17"/>
      <c r="M92" s="17"/>
      <c r="N92" s="17"/>
      <c r="O92" s="17"/>
      <c r="P92" s="17"/>
      <c r="Q92" s="42" t="str">
        <f aca="false">IF(SUM(R92:W92)&gt;0, 1, "")</f>
        <v/>
      </c>
      <c r="R92" s="17"/>
      <c r="S92" s="17"/>
      <c r="T92" s="17"/>
      <c r="U92" s="17"/>
      <c r="V92" s="17"/>
      <c r="W92" s="17"/>
      <c r="X92" s="42" t="str">
        <f aca="false">IF(SUM(Y92:AD92)&gt;0, 1, "")</f>
        <v/>
      </c>
      <c r="Y92" s="17"/>
      <c r="Z92" s="17"/>
      <c r="AA92" s="17"/>
      <c r="AB92" s="17"/>
      <c r="AC92" s="17"/>
      <c r="AD92" s="17"/>
      <c r="AE92" s="42" t="str">
        <f aca="false">IF(SUM(AF92:AK92)&gt;0, 1, "")</f>
        <v/>
      </c>
      <c r="AF92" s="17"/>
      <c r="AG92" s="17"/>
      <c r="AH92" s="17"/>
      <c r="AI92" s="17"/>
      <c r="AJ92" s="17"/>
      <c r="AK92" s="17"/>
      <c r="AL92" s="42" t="str">
        <f aca="false">IF(SUM(AM92:AR92)&gt;0, 1, "")</f>
        <v/>
      </c>
      <c r="AM92" s="17"/>
      <c r="AN92" s="17"/>
      <c r="AO92" s="17"/>
      <c r="AP92" s="17"/>
      <c r="AQ92" s="17"/>
      <c r="AR92" s="17"/>
      <c r="AS92" s="42" t="str">
        <f aca="false">IF(SUM(AT92:AY92)&gt;0, 1, "")</f>
        <v/>
      </c>
      <c r="AT92" s="17"/>
      <c r="AU92" s="17"/>
      <c r="AV92" s="17"/>
      <c r="AW92" s="17"/>
      <c r="AX92" s="17"/>
      <c r="AY92" s="17"/>
      <c r="AZ92" s="42" t="str">
        <f aca="false">IF(SUM(BA92:BF92)&gt;0, 1, "")</f>
        <v/>
      </c>
      <c r="BA92" s="17"/>
      <c r="BB92" s="17"/>
      <c r="BC92" s="17"/>
      <c r="BD92" s="17"/>
      <c r="BE92" s="17"/>
      <c r="BF92" s="17"/>
      <c r="BG92" s="42" t="str">
        <f aca="false">IF(SUM(BH92:BM92)&gt;0, 1, "")</f>
        <v/>
      </c>
      <c r="BH92" s="17"/>
      <c r="BI92" s="17"/>
      <c r="BJ92" s="17"/>
      <c r="BK92" s="17"/>
      <c r="BL92" s="17"/>
      <c r="BM92" s="17"/>
    </row>
    <row r="93" customFormat="false" ht="15" hidden="false" customHeight="false" outlineLevel="0" collapsed="false">
      <c r="A93" s="17" t="s">
        <v>250</v>
      </c>
      <c r="B93" s="17" t="s">
        <v>251</v>
      </c>
      <c r="C93" s="42" t="str">
        <f aca="false">IF(SUM(D93:I93)&gt;0, 1, "")</f>
        <v/>
      </c>
      <c r="D93" s="17"/>
      <c r="E93" s="17"/>
      <c r="F93" s="17"/>
      <c r="G93" s="17"/>
      <c r="H93" s="17"/>
      <c r="I93" s="17"/>
      <c r="J93" s="42" t="str">
        <f aca="false">IF(SUM(K93:P93)&gt;0, 1, "")</f>
        <v/>
      </c>
      <c r="K93" s="17"/>
      <c r="L93" s="17"/>
      <c r="M93" s="17"/>
      <c r="N93" s="17"/>
      <c r="O93" s="17"/>
      <c r="P93" s="17"/>
      <c r="Q93" s="42" t="str">
        <f aca="false">IF(SUM(R93:W93)&gt;0, 1, "")</f>
        <v/>
      </c>
      <c r="R93" s="17"/>
      <c r="S93" s="17"/>
      <c r="T93" s="17"/>
      <c r="U93" s="17"/>
      <c r="V93" s="17"/>
      <c r="W93" s="17"/>
      <c r="X93" s="42" t="str">
        <f aca="false">IF(SUM(Y93:AD93)&gt;0, 1, "")</f>
        <v/>
      </c>
      <c r="Y93" s="17"/>
      <c r="Z93" s="17"/>
      <c r="AA93" s="17"/>
      <c r="AB93" s="17"/>
      <c r="AC93" s="17"/>
      <c r="AD93" s="17"/>
      <c r="AE93" s="42" t="str">
        <f aca="false">IF(SUM(AF93:AK93)&gt;0, 1, "")</f>
        <v/>
      </c>
      <c r="AF93" s="17"/>
      <c r="AG93" s="17"/>
      <c r="AH93" s="17"/>
      <c r="AI93" s="17"/>
      <c r="AJ93" s="17"/>
      <c r="AK93" s="17"/>
      <c r="AL93" s="42" t="str">
        <f aca="false">IF(SUM(AM93:AR93)&gt;0, 1, "")</f>
        <v/>
      </c>
      <c r="AM93" s="17"/>
      <c r="AN93" s="17"/>
      <c r="AO93" s="17"/>
      <c r="AP93" s="17"/>
      <c r="AQ93" s="17"/>
      <c r="AR93" s="17"/>
      <c r="AS93" s="42" t="str">
        <f aca="false">IF(SUM(AT93:AY93)&gt;0, 1, "")</f>
        <v/>
      </c>
      <c r="AT93" s="17"/>
      <c r="AU93" s="17"/>
      <c r="AV93" s="17"/>
      <c r="AW93" s="17"/>
      <c r="AX93" s="17"/>
      <c r="AY93" s="17"/>
      <c r="AZ93" s="42" t="str">
        <f aca="false">IF(SUM(BA93:BF93)&gt;0, 1, "")</f>
        <v/>
      </c>
      <c r="BA93" s="17"/>
      <c r="BB93" s="17"/>
      <c r="BC93" s="17"/>
      <c r="BD93" s="17"/>
      <c r="BE93" s="17"/>
      <c r="BF93" s="17"/>
      <c r="BG93" s="42" t="str">
        <f aca="false">IF(SUM(BH93:BM93)&gt;0, 1, "")</f>
        <v/>
      </c>
      <c r="BH93" s="17"/>
      <c r="BI93" s="17"/>
      <c r="BJ93" s="17"/>
      <c r="BK93" s="17"/>
      <c r="BL93" s="17"/>
      <c r="BM93" s="17"/>
    </row>
    <row r="94" customFormat="false" ht="15" hidden="false" customHeight="false" outlineLevel="0" collapsed="false">
      <c r="A94" s="17" t="s">
        <v>252</v>
      </c>
      <c r="B94" s="17" t="s">
        <v>253</v>
      </c>
      <c r="C94" s="42" t="str">
        <f aca="false">IF(SUM(D94:I94)&gt;0, 1, "")</f>
        <v/>
      </c>
      <c r="D94" s="17"/>
      <c r="E94" s="17"/>
      <c r="F94" s="17"/>
      <c r="G94" s="17"/>
      <c r="H94" s="17"/>
      <c r="I94" s="17"/>
      <c r="J94" s="42" t="str">
        <f aca="false">IF(SUM(K94:P94)&gt;0, 1, "")</f>
        <v/>
      </c>
      <c r="K94" s="17"/>
      <c r="L94" s="17"/>
      <c r="M94" s="17"/>
      <c r="N94" s="17"/>
      <c r="O94" s="17"/>
      <c r="P94" s="17"/>
      <c r="Q94" s="42" t="str">
        <f aca="false">IF(SUM(R94:W94)&gt;0, 1, "")</f>
        <v/>
      </c>
      <c r="R94" s="17"/>
      <c r="S94" s="17"/>
      <c r="T94" s="17"/>
      <c r="U94" s="17"/>
      <c r="V94" s="17"/>
      <c r="W94" s="17"/>
      <c r="X94" s="42" t="str">
        <f aca="false">IF(SUM(Y94:AD94)&gt;0, 1, "")</f>
        <v/>
      </c>
      <c r="Y94" s="17"/>
      <c r="Z94" s="17"/>
      <c r="AA94" s="17"/>
      <c r="AB94" s="17"/>
      <c r="AC94" s="17"/>
      <c r="AD94" s="17"/>
      <c r="AE94" s="42" t="str">
        <f aca="false">IF(SUM(AF94:AK94)&gt;0, 1, "")</f>
        <v/>
      </c>
      <c r="AF94" s="17"/>
      <c r="AJ94" s="17"/>
      <c r="AK94" s="17"/>
      <c r="AL94" s="42" t="str">
        <f aca="false">IF(SUM(AM94:AR94)&gt;0, 1, "")</f>
        <v/>
      </c>
      <c r="AM94" s="17"/>
      <c r="AN94" s="17"/>
      <c r="AO94" s="17"/>
      <c r="AP94" s="17"/>
      <c r="AQ94" s="17"/>
      <c r="AR94" s="17"/>
      <c r="AS94" s="42" t="str">
        <f aca="false">IF(SUM(AT94:AY94)&gt;0, 1, "")</f>
        <v/>
      </c>
      <c r="AT94" s="17"/>
      <c r="AU94" s="17"/>
      <c r="AV94" s="17"/>
      <c r="AW94" s="17"/>
      <c r="AX94" s="17"/>
      <c r="AZ94" s="42" t="str">
        <f aca="false">IF(SUM(BA94:BF94)&gt;0, 1, "")</f>
        <v/>
      </c>
      <c r="BB94" s="17"/>
      <c r="BC94" s="17"/>
      <c r="BD94" s="17"/>
      <c r="BE94" s="17"/>
      <c r="BF94" s="17"/>
      <c r="BG94" s="42" t="str">
        <f aca="false">IF(SUM(BH94:BM94)&gt;0, 1, "")</f>
        <v/>
      </c>
      <c r="BH94" s="17"/>
      <c r="BI94" s="17"/>
      <c r="BJ94" s="17"/>
      <c r="BK94" s="17"/>
      <c r="BL94" s="17"/>
      <c r="BM94" s="17"/>
    </row>
    <row r="95" customFormat="false" ht="15" hidden="false" customHeight="false" outlineLevel="0" collapsed="false">
      <c r="A95" s="17" t="s">
        <v>254</v>
      </c>
      <c r="B95" s="17" t="s">
        <v>255</v>
      </c>
      <c r="C95" s="42" t="str">
        <f aca="false">IF(SUM(D95:I95)&gt;0, 1, "")</f>
        <v/>
      </c>
      <c r="D95" s="17"/>
      <c r="E95" s="17"/>
      <c r="F95" s="17"/>
      <c r="G95" s="17"/>
      <c r="H95" s="17"/>
      <c r="I95" s="17"/>
      <c r="J95" s="42" t="str">
        <f aca="false">IF(SUM(K95:P95)&gt;0, 1, "")</f>
        <v/>
      </c>
      <c r="K95" s="17"/>
      <c r="L95" s="17"/>
      <c r="M95" s="17"/>
      <c r="N95" s="17"/>
      <c r="O95" s="17"/>
      <c r="P95" s="17"/>
      <c r="Q95" s="42" t="str">
        <f aca="false">IF(SUM(R95:W95)&gt;0, 1, "")</f>
        <v/>
      </c>
      <c r="R95" s="17"/>
      <c r="S95" s="17"/>
      <c r="T95" s="17"/>
      <c r="U95" s="17"/>
      <c r="V95" s="17"/>
      <c r="W95" s="17"/>
      <c r="X95" s="42" t="str">
        <f aca="false">IF(SUM(Y95:AD95)&gt;0, 1, "")</f>
        <v/>
      </c>
      <c r="Y95" s="17"/>
      <c r="Z95" s="17"/>
      <c r="AA95" s="17"/>
      <c r="AB95" s="17"/>
      <c r="AC95" s="17"/>
      <c r="AD95" s="17"/>
      <c r="AE95" s="42" t="str">
        <f aca="false">IF(SUM(AF95:AK95)&gt;0, 1, "")</f>
        <v/>
      </c>
      <c r="AF95" s="17"/>
      <c r="AJ95" s="17"/>
      <c r="AK95" s="17"/>
      <c r="AL95" s="42" t="str">
        <f aca="false">IF(SUM(AM95:AR95)&gt;0, 1, "")</f>
        <v/>
      </c>
      <c r="AM95" s="17"/>
      <c r="AN95" s="17"/>
      <c r="AO95" s="17"/>
      <c r="AP95" s="17"/>
      <c r="AQ95" s="17"/>
      <c r="AR95" s="17"/>
      <c r="AS95" s="42" t="str">
        <f aca="false">IF(SUM(AT95:AY95)&gt;0, 1, "")</f>
        <v/>
      </c>
      <c r="AT95" s="17"/>
      <c r="AU95" s="17"/>
      <c r="AV95" s="17"/>
      <c r="AW95" s="17"/>
      <c r="AX95" s="17"/>
      <c r="AZ95" s="42" t="str">
        <f aca="false">IF(SUM(BA95:BF95)&gt;0, 1, "")</f>
        <v/>
      </c>
      <c r="BB95" s="17"/>
      <c r="BC95" s="17"/>
      <c r="BD95" s="17"/>
      <c r="BE95" s="17"/>
      <c r="BF95" s="17"/>
      <c r="BG95" s="42" t="str">
        <f aca="false">IF(SUM(BH95:BM95)&gt;0, 1, "")</f>
        <v/>
      </c>
      <c r="BH95" s="17"/>
      <c r="BI95" s="17"/>
      <c r="BJ95" s="17"/>
      <c r="BK95" s="17"/>
      <c r="BL95" s="17"/>
      <c r="BM95" s="17"/>
    </row>
    <row r="96" customFormat="false" ht="15" hidden="false" customHeight="false" outlineLevel="0" collapsed="false">
      <c r="A96" s="17" t="s">
        <v>256</v>
      </c>
      <c r="B96" s="17" t="s">
        <v>257</v>
      </c>
      <c r="C96" s="42" t="str">
        <f aca="false">IF(SUM(D96:I96)&gt;0, 1, "")</f>
        <v/>
      </c>
      <c r="D96" s="17"/>
      <c r="E96" s="17"/>
      <c r="F96" s="17"/>
      <c r="G96" s="17"/>
      <c r="H96" s="17"/>
      <c r="I96" s="17"/>
      <c r="J96" s="42" t="str">
        <f aca="false">IF(SUM(K96:P96)&gt;0, 1, "")</f>
        <v/>
      </c>
      <c r="K96" s="17"/>
      <c r="L96" s="17"/>
      <c r="M96" s="17"/>
      <c r="N96" s="17"/>
      <c r="O96" s="17"/>
      <c r="P96" s="17"/>
      <c r="Q96" s="42" t="str">
        <f aca="false">IF(SUM(R96:W96)&gt;0, 1, "")</f>
        <v/>
      </c>
      <c r="R96" s="17"/>
      <c r="S96" s="17"/>
      <c r="T96" s="17"/>
      <c r="U96" s="17"/>
      <c r="V96" s="17"/>
      <c r="W96" s="17"/>
      <c r="X96" s="42" t="str">
        <f aca="false">IF(SUM(Y96:AD96)&gt;0, 1, "")</f>
        <v/>
      </c>
      <c r="Y96" s="17"/>
      <c r="Z96" s="17"/>
      <c r="AA96" s="17"/>
      <c r="AB96" s="17"/>
      <c r="AC96" s="17"/>
      <c r="AD96" s="17"/>
      <c r="AE96" s="42" t="str">
        <f aca="false">IF(SUM(AF96:AK96)&gt;0, 1, "")</f>
        <v/>
      </c>
      <c r="AF96" s="17"/>
      <c r="AJ96" s="17"/>
      <c r="AK96" s="17"/>
      <c r="AL96" s="42" t="str">
        <f aca="false">IF(SUM(AM96:AR96)&gt;0, 1, "")</f>
        <v/>
      </c>
      <c r="AM96" s="17"/>
      <c r="AN96" s="17"/>
      <c r="AO96" s="17"/>
      <c r="AP96" s="17"/>
      <c r="AQ96" s="17"/>
      <c r="AR96" s="17"/>
      <c r="AS96" s="42" t="str">
        <f aca="false">IF(SUM(AT96:AY96)&gt;0, 1, "")</f>
        <v/>
      </c>
      <c r="AT96" s="17"/>
      <c r="AU96" s="17"/>
      <c r="AV96" s="17"/>
      <c r="AW96" s="17"/>
      <c r="AX96" s="17"/>
      <c r="AZ96" s="42" t="str">
        <f aca="false">IF(SUM(BA96:BF96)&gt;0, 1, "")</f>
        <v/>
      </c>
      <c r="BB96" s="17"/>
      <c r="BC96" s="17"/>
      <c r="BD96" s="17"/>
      <c r="BE96" s="17"/>
      <c r="BF96" s="17"/>
      <c r="BG96" s="42" t="str">
        <f aca="false">IF(SUM(BH96:BM96)&gt;0, 1, "")</f>
        <v/>
      </c>
      <c r="BH96" s="17"/>
      <c r="BI96" s="17"/>
      <c r="BJ96" s="17"/>
      <c r="BK96" s="17"/>
      <c r="BL96" s="17"/>
      <c r="BM96" s="17"/>
    </row>
    <row r="97" customFormat="false" ht="15" hidden="false" customHeight="false" outlineLevel="0" collapsed="false">
      <c r="A97" s="17" t="s">
        <v>258</v>
      </c>
      <c r="B97" s="17" t="s">
        <v>259</v>
      </c>
      <c r="C97" s="42" t="str">
        <f aca="false">IF(SUM(D97:I97)&gt;0, 1, "")</f>
        <v/>
      </c>
      <c r="D97" s="17"/>
      <c r="E97" s="17"/>
      <c r="F97" s="17"/>
      <c r="G97" s="17"/>
      <c r="H97" s="17"/>
      <c r="I97" s="17"/>
      <c r="J97" s="42" t="str">
        <f aca="false">IF(SUM(K97:P97)&gt;0, 1, "")</f>
        <v/>
      </c>
      <c r="K97" s="17"/>
      <c r="L97" s="17"/>
      <c r="M97" s="17"/>
      <c r="N97" s="17"/>
      <c r="O97" s="17"/>
      <c r="P97" s="17"/>
      <c r="Q97" s="42" t="str">
        <f aca="false">IF(SUM(R97:W97)&gt;0, 1, "")</f>
        <v/>
      </c>
      <c r="R97" s="17"/>
      <c r="S97" s="17"/>
      <c r="T97" s="17"/>
      <c r="U97" s="17"/>
      <c r="V97" s="17"/>
      <c r="W97" s="17"/>
      <c r="X97" s="42" t="str">
        <f aca="false">IF(SUM(Y97:AD97)&gt;0, 1, "")</f>
        <v/>
      </c>
      <c r="Y97" s="17"/>
      <c r="Z97" s="17"/>
      <c r="AA97" s="17"/>
      <c r="AB97" s="17"/>
      <c r="AC97" s="17"/>
      <c r="AD97" s="17"/>
      <c r="AE97" s="42" t="str">
        <f aca="false">IF(SUM(AF97:AK97)&gt;0, 1, "")</f>
        <v/>
      </c>
      <c r="AF97" s="17"/>
      <c r="AJ97" s="17"/>
      <c r="AK97" s="17"/>
      <c r="AL97" s="42" t="str">
        <f aca="false">IF(SUM(AM97:AR97)&gt;0, 1, "")</f>
        <v/>
      </c>
      <c r="AM97" s="17"/>
      <c r="AN97" s="17"/>
      <c r="AO97" s="17"/>
      <c r="AP97" s="17"/>
      <c r="AQ97" s="17"/>
      <c r="AR97" s="17"/>
      <c r="AS97" s="42" t="str">
        <f aca="false">IF(SUM(AT97:AY97)&gt;0, 1, "")</f>
        <v/>
      </c>
      <c r="AT97" s="17"/>
      <c r="AU97" s="17"/>
      <c r="AV97" s="17"/>
      <c r="AW97" s="17"/>
      <c r="AX97" s="17"/>
      <c r="AZ97" s="42" t="str">
        <f aca="false">IF(SUM(BA97:BF97)&gt;0, 1, "")</f>
        <v/>
      </c>
      <c r="BB97" s="17"/>
      <c r="BC97" s="17"/>
      <c r="BD97" s="17"/>
      <c r="BE97" s="17"/>
      <c r="BF97" s="17"/>
      <c r="BG97" s="42" t="str">
        <f aca="false">IF(SUM(BH97:BM97)&gt;0, 1, "")</f>
        <v/>
      </c>
      <c r="BH97" s="17"/>
      <c r="BI97" s="17"/>
      <c r="BJ97" s="17"/>
      <c r="BK97" s="17"/>
      <c r="BL97" s="17"/>
      <c r="BM97" s="17"/>
    </row>
    <row r="98" customFormat="false" ht="15" hidden="false" customHeight="false" outlineLevel="0" collapsed="false">
      <c r="A98" s="17" t="s">
        <v>260</v>
      </c>
      <c r="B98" s="17" t="s">
        <v>261</v>
      </c>
      <c r="C98" s="42" t="str">
        <f aca="false">IF(SUM(D98:I98)&gt;0, 1, "")</f>
        <v/>
      </c>
      <c r="D98" s="17"/>
      <c r="E98" s="17"/>
      <c r="F98" s="17"/>
      <c r="G98" s="17"/>
      <c r="H98" s="17"/>
      <c r="I98" s="17"/>
      <c r="J98" s="42" t="str">
        <f aca="false">IF(SUM(K98:P98)&gt;0, 1, "")</f>
        <v/>
      </c>
      <c r="K98" s="17"/>
      <c r="L98" s="17"/>
      <c r="M98" s="17"/>
      <c r="N98" s="17"/>
      <c r="O98" s="17"/>
      <c r="P98" s="17"/>
      <c r="Q98" s="42" t="str">
        <f aca="false">IF(SUM(R98:W98)&gt;0, 1, "")</f>
        <v/>
      </c>
      <c r="R98" s="17"/>
      <c r="S98" s="17"/>
      <c r="T98" s="17"/>
      <c r="U98" s="17"/>
      <c r="V98" s="17"/>
      <c r="W98" s="17"/>
      <c r="X98" s="42" t="str">
        <f aca="false">IF(SUM(Y98:AD98)&gt;0, 1, "")</f>
        <v/>
      </c>
      <c r="Y98" s="17"/>
      <c r="Z98" s="17"/>
      <c r="AA98" s="17"/>
      <c r="AB98" s="17"/>
      <c r="AC98" s="17"/>
      <c r="AD98" s="17"/>
      <c r="AE98" s="42" t="str">
        <f aca="false">IF(SUM(AF98:AK98)&gt;0, 1, "")</f>
        <v/>
      </c>
      <c r="AF98" s="17"/>
      <c r="AJ98" s="17"/>
      <c r="AK98" s="17"/>
      <c r="AL98" s="42" t="str">
        <f aca="false">IF(SUM(AM98:AR98)&gt;0, 1, "")</f>
        <v/>
      </c>
      <c r="AM98" s="17"/>
      <c r="AN98" s="17"/>
      <c r="AO98" s="17"/>
      <c r="AP98" s="17"/>
      <c r="AQ98" s="17"/>
      <c r="AR98" s="17"/>
      <c r="AS98" s="42" t="str">
        <f aca="false">IF(SUM(AT98:AY98)&gt;0, 1, "")</f>
        <v/>
      </c>
      <c r="AT98" s="17"/>
      <c r="AU98" s="17"/>
      <c r="AV98" s="17"/>
      <c r="AW98" s="17"/>
      <c r="AX98" s="17"/>
      <c r="AZ98" s="42" t="str">
        <f aca="false">IF(SUM(BA98:BF98)&gt;0, 1, "")</f>
        <v/>
      </c>
      <c r="BB98" s="17"/>
      <c r="BC98" s="17"/>
      <c r="BD98" s="17"/>
      <c r="BE98" s="17"/>
      <c r="BF98" s="17"/>
      <c r="BG98" s="42" t="str">
        <f aca="false">IF(SUM(BH98:BM98)&gt;0, 1, "")</f>
        <v/>
      </c>
      <c r="BH98" s="17"/>
      <c r="BI98" s="17"/>
      <c r="BJ98" s="17"/>
      <c r="BK98" s="17"/>
      <c r="BL98" s="17"/>
      <c r="BM98" s="17"/>
    </row>
    <row r="99" customFormat="false" ht="15" hidden="false" customHeight="false" outlineLevel="0" collapsed="false">
      <c r="A99" s="17" t="s">
        <v>262</v>
      </c>
      <c r="B99" s="17" t="s">
        <v>263</v>
      </c>
      <c r="C99" s="42" t="str">
        <f aca="false">IF(SUM(D99:I99)&gt;0, 1, "")</f>
        <v/>
      </c>
      <c r="D99" s="17"/>
      <c r="E99" s="17"/>
      <c r="F99" s="17"/>
      <c r="G99" s="17"/>
      <c r="H99" s="17"/>
      <c r="I99" s="17"/>
      <c r="J99" s="42" t="str">
        <f aca="false">IF(SUM(K99:P99)&gt;0, 1, "")</f>
        <v/>
      </c>
      <c r="K99" s="17"/>
      <c r="L99" s="17"/>
      <c r="M99" s="17"/>
      <c r="N99" s="17"/>
      <c r="O99" s="17"/>
      <c r="P99" s="17"/>
      <c r="Q99" s="42" t="str">
        <f aca="false">IF(SUM(R99:W99)&gt;0, 1, "")</f>
        <v/>
      </c>
      <c r="R99" s="17"/>
      <c r="S99" s="17"/>
      <c r="T99" s="17"/>
      <c r="U99" s="17"/>
      <c r="V99" s="17"/>
      <c r="W99" s="17"/>
      <c r="X99" s="42" t="str">
        <f aca="false">IF(SUM(Y99:AD99)&gt;0, 1, "")</f>
        <v/>
      </c>
      <c r="Y99" s="17"/>
      <c r="Z99" s="17"/>
      <c r="AA99" s="17"/>
      <c r="AB99" s="17"/>
      <c r="AC99" s="17"/>
      <c r="AD99" s="17"/>
      <c r="AE99" s="42" t="str">
        <f aca="false">IF(SUM(AF99:AK99)&gt;0, 1, "")</f>
        <v/>
      </c>
      <c r="AF99" s="17"/>
      <c r="AG99" s="17"/>
      <c r="AH99" s="17"/>
      <c r="AI99" s="17"/>
      <c r="AJ99" s="17"/>
      <c r="AK99" s="17"/>
      <c r="AL99" s="42" t="str">
        <f aca="false">IF(SUM(AM99:AR99)&gt;0, 1, "")</f>
        <v/>
      </c>
      <c r="AM99" s="17"/>
      <c r="AN99" s="17"/>
      <c r="AO99" s="17"/>
      <c r="AP99" s="17"/>
      <c r="AQ99" s="17"/>
      <c r="AR99" s="17"/>
      <c r="AS99" s="42" t="str">
        <f aca="false">IF(SUM(AT99:AY99)&gt;0, 1, "")</f>
        <v/>
      </c>
      <c r="AT99" s="17"/>
      <c r="AU99" s="17"/>
      <c r="AV99" s="17"/>
      <c r="AW99" s="17"/>
      <c r="AX99" s="17"/>
      <c r="AY99" s="17"/>
      <c r="AZ99" s="42" t="str">
        <f aca="false">IF(SUM(BA99:BF99)&gt;0, 1, "")</f>
        <v/>
      </c>
      <c r="BA99" s="17"/>
      <c r="BB99" s="17"/>
      <c r="BC99" s="17"/>
      <c r="BD99" s="17"/>
      <c r="BE99" s="17"/>
      <c r="BF99" s="17"/>
      <c r="BG99" s="42" t="str">
        <f aca="false">IF(SUM(BH99:BM99)&gt;0, 1, "")</f>
        <v/>
      </c>
      <c r="BH99" s="17"/>
      <c r="BI99" s="17"/>
      <c r="BJ99" s="17"/>
      <c r="BK99" s="17"/>
      <c r="BL99" s="17"/>
      <c r="BM99" s="17"/>
    </row>
    <row r="100" customFormat="false" ht="15" hidden="false" customHeight="false" outlineLevel="0" collapsed="false">
      <c r="A100" s="17" t="s">
        <v>264</v>
      </c>
      <c r="B100" s="17" t="s">
        <v>265</v>
      </c>
      <c r="C100" s="42" t="str">
        <f aca="false">IF(SUM(D100:I100)&gt;0, 1, "")</f>
        <v/>
      </c>
      <c r="D100" s="17"/>
      <c r="E100" s="17"/>
      <c r="F100" s="17"/>
      <c r="G100" s="17"/>
      <c r="H100" s="17"/>
      <c r="I100" s="17"/>
      <c r="J100" s="42" t="str">
        <f aca="false">IF(SUM(K100:P100)&gt;0, 1, "")</f>
        <v/>
      </c>
      <c r="K100" s="17"/>
      <c r="L100" s="17"/>
      <c r="M100" s="17"/>
      <c r="N100" s="17"/>
      <c r="O100" s="17"/>
      <c r="P100" s="17"/>
      <c r="Q100" s="42" t="str">
        <f aca="false">IF(SUM(R100:W100)&gt;0, 1, "")</f>
        <v/>
      </c>
      <c r="R100" s="17"/>
      <c r="S100" s="17"/>
      <c r="T100" s="17"/>
      <c r="U100" s="17"/>
      <c r="V100" s="17"/>
      <c r="W100" s="17"/>
      <c r="X100" s="42" t="str">
        <f aca="false">IF(SUM(Y100:AD100)&gt;0, 1, "")</f>
        <v/>
      </c>
      <c r="Y100" s="17"/>
      <c r="Z100" s="17"/>
      <c r="AA100" s="17"/>
      <c r="AB100" s="17"/>
      <c r="AC100" s="17"/>
      <c r="AD100" s="17"/>
      <c r="AE100" s="42" t="str">
        <f aca="false">IF(SUM(AF100:AK100)&gt;0, 1, "")</f>
        <v/>
      </c>
      <c r="AF100" s="17"/>
      <c r="AG100" s="17"/>
      <c r="AH100" s="17"/>
      <c r="AI100" s="17"/>
      <c r="AJ100" s="17"/>
      <c r="AK100" s="17"/>
      <c r="AL100" s="42" t="str">
        <f aca="false">IF(SUM(AM100:AR100)&gt;0, 1, "")</f>
        <v/>
      </c>
      <c r="AM100" s="17"/>
      <c r="AN100" s="17"/>
      <c r="AO100" s="17"/>
      <c r="AP100" s="17"/>
      <c r="AQ100" s="17"/>
      <c r="AR100" s="17"/>
      <c r="AS100" s="42" t="str">
        <f aca="false">IF(SUM(AT100:AY100)&gt;0, 1, "")</f>
        <v/>
      </c>
      <c r="AT100" s="17"/>
      <c r="AU100" s="17"/>
      <c r="AV100" s="17"/>
      <c r="AW100" s="17"/>
      <c r="AX100" s="17"/>
      <c r="AY100" s="17"/>
      <c r="AZ100" s="42" t="str">
        <f aca="false">IF(SUM(BA100:BF100)&gt;0, 1, "")</f>
        <v/>
      </c>
      <c r="BA100" s="17"/>
      <c r="BB100" s="17"/>
      <c r="BC100" s="17"/>
      <c r="BD100" s="17"/>
      <c r="BE100" s="17"/>
      <c r="BF100" s="17"/>
      <c r="BG100" s="42" t="str">
        <f aca="false">IF(SUM(BH100:BM100)&gt;0, 1, "")</f>
        <v/>
      </c>
      <c r="BH100" s="17"/>
      <c r="BI100" s="17"/>
      <c r="BJ100" s="17"/>
      <c r="BK100" s="17"/>
      <c r="BL100" s="17"/>
      <c r="BM100" s="17"/>
    </row>
    <row r="101" customFormat="false" ht="15" hidden="false" customHeight="false" outlineLevel="0" collapsed="false">
      <c r="A101" s="17" t="s">
        <v>266</v>
      </c>
      <c r="B101" s="17" t="s">
        <v>267</v>
      </c>
      <c r="C101" s="42" t="str">
        <f aca="false">IF(SUM(D101:I101)&gt;0, 1, "")</f>
        <v/>
      </c>
      <c r="D101" s="17"/>
      <c r="E101" s="17"/>
      <c r="F101" s="17"/>
      <c r="G101" s="17"/>
      <c r="H101" s="17"/>
      <c r="I101" s="17"/>
      <c r="J101" s="42" t="str">
        <f aca="false">IF(SUM(K101:P101)&gt;0, 1, "")</f>
        <v/>
      </c>
      <c r="K101" s="17"/>
      <c r="L101" s="17"/>
      <c r="M101" s="17"/>
      <c r="N101" s="17"/>
      <c r="O101" s="17"/>
      <c r="P101" s="17"/>
      <c r="Q101" s="42" t="str">
        <f aca="false">IF(SUM(R101:W101)&gt;0, 1, "")</f>
        <v/>
      </c>
      <c r="R101" s="17"/>
      <c r="S101" s="17"/>
      <c r="T101" s="17"/>
      <c r="U101" s="17"/>
      <c r="V101" s="17"/>
      <c r="W101" s="17"/>
      <c r="X101" s="42" t="str">
        <f aca="false">IF(SUM(Y101:AD101)&gt;0, 1, "")</f>
        <v/>
      </c>
      <c r="Y101" s="17"/>
      <c r="Z101" s="17"/>
      <c r="AA101" s="17"/>
      <c r="AB101" s="17"/>
      <c r="AC101" s="17"/>
      <c r="AD101" s="17"/>
      <c r="AE101" s="42" t="str">
        <f aca="false">IF(SUM(AF101:AK101)&gt;0, 1, "")</f>
        <v/>
      </c>
      <c r="AF101" s="17"/>
      <c r="AG101" s="17"/>
      <c r="AH101" s="17"/>
      <c r="AI101" s="17"/>
      <c r="AJ101" s="17"/>
      <c r="AK101" s="17"/>
      <c r="AL101" s="42" t="str">
        <f aca="false">IF(SUM(AM101:AR101)&gt;0, 1, "")</f>
        <v/>
      </c>
      <c r="AM101" s="17"/>
      <c r="AN101" s="17"/>
      <c r="AO101" s="17"/>
      <c r="AP101" s="17"/>
      <c r="AQ101" s="17"/>
      <c r="AR101" s="17"/>
      <c r="AS101" s="42" t="str">
        <f aca="false">IF(SUM(AT101:AY101)&gt;0, 1, "")</f>
        <v/>
      </c>
      <c r="AT101" s="17"/>
      <c r="AU101" s="17"/>
      <c r="AV101" s="17"/>
      <c r="AW101" s="17"/>
      <c r="AX101" s="17"/>
      <c r="AY101" s="17"/>
      <c r="AZ101" s="42" t="str">
        <f aca="false">IF(SUM(BA101:BF101)&gt;0, 1, "")</f>
        <v/>
      </c>
      <c r="BA101" s="17"/>
      <c r="BB101" s="17"/>
      <c r="BC101" s="17"/>
      <c r="BD101" s="17"/>
      <c r="BE101" s="17"/>
      <c r="BF101" s="17"/>
      <c r="BG101" s="42" t="str">
        <f aca="false">IF(SUM(BH101:BM101)&gt;0, 1, "")</f>
        <v/>
      </c>
      <c r="BH101" s="17"/>
      <c r="BI101" s="17"/>
      <c r="BJ101" s="17"/>
      <c r="BK101" s="17"/>
      <c r="BL101" s="17"/>
      <c r="BM101" s="17"/>
    </row>
    <row r="102" customFormat="false" ht="15" hidden="false" customHeight="false" outlineLevel="0" collapsed="false">
      <c r="A102" s="17" t="s">
        <v>268</v>
      </c>
      <c r="B102" s="17" t="s">
        <v>269</v>
      </c>
      <c r="C102" s="42" t="str">
        <f aca="false">IF(SUM(D102:I102)&gt;0, 1, "")</f>
        <v/>
      </c>
      <c r="D102" s="17"/>
      <c r="E102" s="17"/>
      <c r="F102" s="17"/>
      <c r="G102" s="17"/>
      <c r="H102" s="17"/>
      <c r="I102" s="17"/>
      <c r="J102" s="42" t="str">
        <f aca="false">IF(SUM(K102:P102)&gt;0, 1, "")</f>
        <v/>
      </c>
      <c r="K102" s="17"/>
      <c r="L102" s="17"/>
      <c r="M102" s="17"/>
      <c r="N102" s="17"/>
      <c r="O102" s="17"/>
      <c r="P102" s="17"/>
      <c r="Q102" s="42" t="str">
        <f aca="false">IF(SUM(R102:W102)&gt;0, 1, "")</f>
        <v/>
      </c>
      <c r="R102" s="17"/>
      <c r="S102" s="17"/>
      <c r="T102" s="17"/>
      <c r="U102" s="17"/>
      <c r="V102" s="17"/>
      <c r="W102" s="17"/>
      <c r="X102" s="42" t="str">
        <f aca="false">IF(SUM(Y102:AD102)&gt;0, 1, "")</f>
        <v/>
      </c>
      <c r="Y102" s="17"/>
      <c r="Z102" s="17"/>
      <c r="AA102" s="17"/>
      <c r="AB102" s="17"/>
      <c r="AC102" s="17"/>
      <c r="AD102" s="17"/>
      <c r="AE102" s="42" t="str">
        <f aca="false">IF(SUM(AF102:AK102)&gt;0, 1, "")</f>
        <v/>
      </c>
      <c r="AF102" s="17"/>
      <c r="AG102" s="17"/>
      <c r="AH102" s="17"/>
      <c r="AI102" s="17"/>
      <c r="AJ102" s="17"/>
      <c r="AK102" s="17"/>
      <c r="AL102" s="42" t="str">
        <f aca="false">IF(SUM(AM102:AR102)&gt;0, 1, "")</f>
        <v/>
      </c>
      <c r="AM102" s="17"/>
      <c r="AN102" s="17"/>
      <c r="AO102" s="17"/>
      <c r="AP102" s="17"/>
      <c r="AQ102" s="17"/>
      <c r="AR102" s="17"/>
      <c r="AS102" s="42" t="str">
        <f aca="false">IF(SUM(AT102:AY102)&gt;0, 1, "")</f>
        <v/>
      </c>
      <c r="AT102" s="17"/>
      <c r="AU102" s="17"/>
      <c r="AV102" s="17"/>
      <c r="AW102" s="17"/>
      <c r="AX102" s="17"/>
      <c r="AY102" s="17"/>
      <c r="AZ102" s="42" t="str">
        <f aca="false">IF(SUM(BA102:BF102)&gt;0, 1, "")</f>
        <v/>
      </c>
      <c r="BA102" s="17"/>
      <c r="BB102" s="17"/>
      <c r="BC102" s="17"/>
      <c r="BD102" s="17"/>
      <c r="BE102" s="17"/>
      <c r="BF102" s="17"/>
      <c r="BG102" s="42" t="str">
        <f aca="false">IF(SUM(BH102:BM102)&gt;0, 1, "")</f>
        <v/>
      </c>
      <c r="BH102" s="17"/>
      <c r="BI102" s="17"/>
      <c r="BJ102" s="17"/>
      <c r="BK102" s="17"/>
      <c r="BL102" s="17"/>
      <c r="BM102" s="17"/>
    </row>
    <row r="103" customFormat="false" ht="15" hidden="false" customHeight="false" outlineLevel="0" collapsed="false">
      <c r="A103" s="17" t="s">
        <v>270</v>
      </c>
      <c r="B103" s="17" t="s">
        <v>271</v>
      </c>
      <c r="C103" s="42" t="str">
        <f aca="false">IF(SUM(D103:I103)&gt;0, 1, "")</f>
        <v/>
      </c>
      <c r="D103" s="17"/>
      <c r="E103" s="17"/>
      <c r="F103" s="17"/>
      <c r="G103" s="17"/>
      <c r="H103" s="17"/>
      <c r="I103" s="17"/>
      <c r="J103" s="42" t="str">
        <f aca="false">IF(SUM(K103:P103)&gt;0, 1, "")</f>
        <v/>
      </c>
      <c r="K103" s="17"/>
      <c r="L103" s="17"/>
      <c r="M103" s="17"/>
      <c r="N103" s="17"/>
      <c r="O103" s="17"/>
      <c r="P103" s="17"/>
      <c r="Q103" s="42" t="str">
        <f aca="false">IF(SUM(R103:W103)&gt;0, 1, "")</f>
        <v/>
      </c>
      <c r="R103" s="17"/>
      <c r="S103" s="17"/>
      <c r="T103" s="17"/>
      <c r="U103" s="17"/>
      <c r="V103" s="17"/>
      <c r="W103" s="17"/>
      <c r="X103" s="42" t="str">
        <f aca="false">IF(SUM(Y103:AD103)&gt;0, 1, "")</f>
        <v/>
      </c>
      <c r="Y103" s="17"/>
      <c r="Z103" s="17"/>
      <c r="AA103" s="17"/>
      <c r="AB103" s="17"/>
      <c r="AC103" s="17"/>
      <c r="AD103" s="17"/>
      <c r="AE103" s="42" t="str">
        <f aca="false">IF(SUM(AF103:AK103)&gt;0, 1, "")</f>
        <v/>
      </c>
      <c r="AF103" s="17"/>
      <c r="AG103" s="17"/>
      <c r="AH103" s="17"/>
      <c r="AI103" s="17"/>
      <c r="AJ103" s="17"/>
      <c r="AK103" s="17"/>
      <c r="AL103" s="42" t="str">
        <f aca="false">IF(SUM(AM103:AR103)&gt;0, 1, "")</f>
        <v/>
      </c>
      <c r="AM103" s="17"/>
      <c r="AN103" s="17"/>
      <c r="AO103" s="17"/>
      <c r="AP103" s="17"/>
      <c r="AQ103" s="17"/>
      <c r="AR103" s="17"/>
      <c r="AS103" s="42" t="str">
        <f aca="false">IF(SUM(AT103:AY103)&gt;0, 1, "")</f>
        <v/>
      </c>
      <c r="AT103" s="17"/>
      <c r="AU103" s="17"/>
      <c r="AV103" s="17"/>
      <c r="AW103" s="17"/>
      <c r="AX103" s="17"/>
      <c r="AY103" s="17"/>
      <c r="AZ103" s="42" t="str">
        <f aca="false">IF(SUM(BA103:BF103)&gt;0, 1, "")</f>
        <v/>
      </c>
      <c r="BA103" s="17"/>
      <c r="BB103" s="17"/>
      <c r="BC103" s="17"/>
      <c r="BD103" s="17"/>
      <c r="BE103" s="17"/>
      <c r="BF103" s="17"/>
      <c r="BG103" s="42" t="str">
        <f aca="false">IF(SUM(BH103:BM103)&gt;0, 1, "")</f>
        <v/>
      </c>
      <c r="BH103" s="17"/>
      <c r="BI103" s="17"/>
      <c r="BJ103" s="17"/>
      <c r="BK103" s="17"/>
      <c r="BL103" s="17"/>
      <c r="BM103" s="17"/>
    </row>
    <row r="104" customFormat="false" ht="15" hidden="false" customHeight="false" outlineLevel="0" collapsed="false">
      <c r="A104" s="17" t="s">
        <v>272</v>
      </c>
      <c r="B104" s="17" t="s">
        <v>273</v>
      </c>
      <c r="C104" s="42" t="str">
        <f aca="false">IF(SUM(D104:I104)&gt;0, 1, "")</f>
        <v/>
      </c>
      <c r="D104" s="17"/>
      <c r="E104" s="17"/>
      <c r="F104" s="17"/>
      <c r="G104" s="17"/>
      <c r="H104" s="17"/>
      <c r="I104" s="17"/>
      <c r="J104" s="42" t="str">
        <f aca="false">IF(SUM(K104:P104)&gt;0, 1, "")</f>
        <v/>
      </c>
      <c r="K104" s="17"/>
      <c r="L104" s="17"/>
      <c r="M104" s="17"/>
      <c r="N104" s="17"/>
      <c r="O104" s="17"/>
      <c r="P104" s="17"/>
      <c r="Q104" s="42" t="str">
        <f aca="false">IF(SUM(R104:W104)&gt;0, 1, "")</f>
        <v/>
      </c>
      <c r="R104" s="17"/>
      <c r="S104" s="17"/>
      <c r="T104" s="17"/>
      <c r="U104" s="17"/>
      <c r="V104" s="17"/>
      <c r="W104" s="17"/>
      <c r="X104" s="42" t="str">
        <f aca="false">IF(SUM(Y104:AD104)&gt;0, 1, "")</f>
        <v/>
      </c>
      <c r="Y104" s="17"/>
      <c r="Z104" s="17"/>
      <c r="AA104" s="17"/>
      <c r="AB104" s="17"/>
      <c r="AC104" s="17"/>
      <c r="AD104" s="17"/>
      <c r="AE104" s="42" t="str">
        <f aca="false">IF(SUM(AF104:AK104)&gt;0, 1, "")</f>
        <v/>
      </c>
      <c r="AF104" s="17"/>
      <c r="AG104" s="17"/>
      <c r="AH104" s="17"/>
      <c r="AI104" s="17"/>
      <c r="AJ104" s="17"/>
      <c r="AK104" s="17"/>
      <c r="AL104" s="42" t="str">
        <f aca="false">IF(SUM(AM104:AR104)&gt;0, 1, "")</f>
        <v/>
      </c>
      <c r="AM104" s="17"/>
      <c r="AN104" s="17"/>
      <c r="AO104" s="17"/>
      <c r="AP104" s="17"/>
      <c r="AQ104" s="17"/>
      <c r="AR104" s="17"/>
      <c r="AS104" s="42" t="str">
        <f aca="false">IF(SUM(AT104:AY104)&gt;0, 1, "")</f>
        <v/>
      </c>
      <c r="AT104" s="17"/>
      <c r="AU104" s="17"/>
      <c r="AV104" s="17"/>
      <c r="AW104" s="17"/>
      <c r="AX104" s="17"/>
      <c r="AY104" s="17"/>
      <c r="AZ104" s="42" t="str">
        <f aca="false">IF(SUM(BA104:BF104)&gt;0, 1, "")</f>
        <v/>
      </c>
      <c r="BA104" s="17"/>
      <c r="BB104" s="17"/>
      <c r="BC104" s="17"/>
      <c r="BD104" s="17"/>
      <c r="BE104" s="17"/>
      <c r="BF104" s="17"/>
      <c r="BG104" s="42" t="str">
        <f aca="false">IF(SUM(BH104:BM104)&gt;0, 1, "")</f>
        <v/>
      </c>
      <c r="BH104" s="17"/>
      <c r="BI104" s="17"/>
      <c r="BJ104" s="17"/>
      <c r="BK104" s="17"/>
      <c r="BL104" s="17"/>
      <c r="BM104" s="17"/>
    </row>
    <row r="105" customFormat="false" ht="15" hidden="false" customHeight="false" outlineLevel="0" collapsed="false">
      <c r="A105" s="17" t="s">
        <v>274</v>
      </c>
      <c r="B105" s="17" t="s">
        <v>275</v>
      </c>
      <c r="C105" s="42" t="str">
        <f aca="false">IF(SUM(D105:I105)&gt;0, 1, "")</f>
        <v/>
      </c>
      <c r="D105" s="17"/>
      <c r="E105" s="17"/>
      <c r="F105" s="17"/>
      <c r="G105" s="17"/>
      <c r="H105" s="17"/>
      <c r="I105" s="17"/>
      <c r="J105" s="42" t="str">
        <f aca="false">IF(SUM(K105:P105)&gt;0, 1, "")</f>
        <v/>
      </c>
      <c r="K105" s="17"/>
      <c r="L105" s="17"/>
      <c r="M105" s="17"/>
      <c r="N105" s="17"/>
      <c r="O105" s="17"/>
      <c r="P105" s="17"/>
      <c r="Q105" s="42" t="str">
        <f aca="false">IF(SUM(R105:W105)&gt;0, 1, "")</f>
        <v/>
      </c>
      <c r="R105" s="17"/>
      <c r="S105" s="17"/>
      <c r="T105" s="17"/>
      <c r="U105" s="17"/>
      <c r="V105" s="17"/>
      <c r="W105" s="17"/>
      <c r="X105" s="42" t="str">
        <f aca="false">IF(SUM(Y105:AD105)&gt;0, 1, "")</f>
        <v/>
      </c>
      <c r="Y105" s="17"/>
      <c r="Z105" s="17"/>
      <c r="AA105" s="17"/>
      <c r="AB105" s="17"/>
      <c r="AC105" s="17"/>
      <c r="AD105" s="17"/>
      <c r="AE105" s="42" t="str">
        <f aca="false">IF(SUM(AF105:AK105)&gt;0, 1, "")</f>
        <v/>
      </c>
      <c r="AF105" s="17"/>
      <c r="AG105" s="17"/>
      <c r="AH105" s="17"/>
      <c r="AI105" s="17"/>
      <c r="AJ105" s="17"/>
      <c r="AK105" s="17"/>
      <c r="AL105" s="42" t="str">
        <f aca="false">IF(SUM(AM105:AR105)&gt;0, 1, "")</f>
        <v/>
      </c>
      <c r="AM105" s="17"/>
      <c r="AN105" s="17"/>
      <c r="AO105" s="17"/>
      <c r="AP105" s="17"/>
      <c r="AQ105" s="17"/>
      <c r="AR105" s="17"/>
      <c r="AS105" s="42" t="str">
        <f aca="false">IF(SUM(AT105:AY105)&gt;0, 1, "")</f>
        <v/>
      </c>
      <c r="AT105" s="17"/>
      <c r="AU105" s="17"/>
      <c r="AV105" s="17"/>
      <c r="AW105" s="17"/>
      <c r="AX105" s="17"/>
      <c r="AY105" s="17"/>
      <c r="AZ105" s="42" t="str">
        <f aca="false">IF(SUM(BA105:BF105)&gt;0, 1, "")</f>
        <v/>
      </c>
      <c r="BA105" s="17"/>
      <c r="BB105" s="17"/>
      <c r="BC105" s="17"/>
      <c r="BD105" s="17"/>
      <c r="BE105" s="17"/>
      <c r="BF105" s="17"/>
      <c r="BG105" s="42" t="str">
        <f aca="false">IF(SUM(BH105:BM105)&gt;0, 1, "")</f>
        <v/>
      </c>
      <c r="BH105" s="17"/>
      <c r="BI105" s="17"/>
      <c r="BJ105" s="17"/>
      <c r="BK105" s="17"/>
      <c r="BL105" s="17"/>
      <c r="BM105" s="17"/>
    </row>
    <row r="106" customFormat="false" ht="15" hidden="false" customHeight="false" outlineLevel="0" collapsed="false">
      <c r="A106" s="17" t="s">
        <v>276</v>
      </c>
      <c r="B106" s="17" t="s">
        <v>277</v>
      </c>
      <c r="C106" s="42" t="str">
        <f aca="false">IF(SUM(D106:I106)&gt;0, 1, "")</f>
        <v/>
      </c>
      <c r="D106" s="17"/>
      <c r="E106" s="17"/>
      <c r="F106" s="17"/>
      <c r="G106" s="17"/>
      <c r="H106" s="17"/>
      <c r="I106" s="17"/>
      <c r="J106" s="42" t="str">
        <f aca="false">IF(SUM(K106:P106)&gt;0, 1, "")</f>
        <v/>
      </c>
      <c r="K106" s="17"/>
      <c r="L106" s="17"/>
      <c r="M106" s="17"/>
      <c r="N106" s="17"/>
      <c r="O106" s="17"/>
      <c r="P106" s="17"/>
      <c r="Q106" s="42" t="str">
        <f aca="false">IF(SUM(R106:W106)&gt;0, 1, "")</f>
        <v/>
      </c>
      <c r="R106" s="17"/>
      <c r="S106" s="17"/>
      <c r="T106" s="17"/>
      <c r="U106" s="17"/>
      <c r="V106" s="17"/>
      <c r="W106" s="17"/>
      <c r="X106" s="42" t="str">
        <f aca="false">IF(SUM(Y106:AD106)&gt;0, 1, "")</f>
        <v/>
      </c>
      <c r="Y106" s="17"/>
      <c r="Z106" s="17"/>
      <c r="AA106" s="17"/>
      <c r="AB106" s="17"/>
      <c r="AC106" s="17"/>
      <c r="AD106" s="17"/>
      <c r="AE106" s="42" t="str">
        <f aca="false">IF(SUM(AF106:AK106)&gt;0, 1, "")</f>
        <v/>
      </c>
      <c r="AF106" s="17"/>
      <c r="AG106" s="17"/>
      <c r="AH106" s="17"/>
      <c r="AI106" s="17"/>
      <c r="AJ106" s="17"/>
      <c r="AK106" s="17"/>
      <c r="AL106" s="42" t="str">
        <f aca="false">IF(SUM(AM106:AR106)&gt;0, 1, "")</f>
        <v/>
      </c>
      <c r="AM106" s="17"/>
      <c r="AN106" s="17"/>
      <c r="AO106" s="17"/>
      <c r="AP106" s="17"/>
      <c r="AQ106" s="17"/>
      <c r="AR106" s="17"/>
      <c r="AS106" s="42" t="str">
        <f aca="false">IF(SUM(AT106:AY106)&gt;0, 1, "")</f>
        <v/>
      </c>
      <c r="AT106" s="17"/>
      <c r="AU106" s="17"/>
      <c r="AV106" s="17"/>
      <c r="AW106" s="17"/>
      <c r="AX106" s="17"/>
      <c r="AY106" s="17"/>
      <c r="AZ106" s="42" t="str">
        <f aca="false">IF(SUM(BA106:BF106)&gt;0, 1, "")</f>
        <v/>
      </c>
      <c r="BA106" s="17"/>
      <c r="BB106" s="17"/>
      <c r="BC106" s="17"/>
      <c r="BD106" s="17"/>
      <c r="BE106" s="17"/>
      <c r="BF106" s="17"/>
      <c r="BG106" s="42" t="str">
        <f aca="false">IF(SUM(BH106:BM106)&gt;0, 1, "")</f>
        <v/>
      </c>
      <c r="BH106" s="17"/>
      <c r="BI106" s="17"/>
      <c r="BJ106" s="17"/>
      <c r="BK106" s="17"/>
      <c r="BL106" s="17"/>
      <c r="BM106" s="17"/>
    </row>
    <row r="107" customFormat="false" ht="15" hidden="false" customHeight="false" outlineLevel="0" collapsed="false">
      <c r="A107" s="17" t="s">
        <v>278</v>
      </c>
      <c r="B107" s="17" t="s">
        <v>279</v>
      </c>
      <c r="C107" s="42" t="str">
        <f aca="false">IF(SUM(D107:I107)&gt;0, 1, "")</f>
        <v/>
      </c>
      <c r="D107" s="17"/>
      <c r="E107" s="17"/>
      <c r="F107" s="17"/>
      <c r="G107" s="17"/>
      <c r="H107" s="17"/>
      <c r="I107" s="17"/>
      <c r="J107" s="42" t="str">
        <f aca="false">IF(SUM(K107:P107)&gt;0, 1, "")</f>
        <v/>
      </c>
      <c r="K107" s="17"/>
      <c r="L107" s="17"/>
      <c r="M107" s="17"/>
      <c r="N107" s="17"/>
      <c r="O107" s="17"/>
      <c r="P107" s="17"/>
      <c r="Q107" s="42" t="str">
        <f aca="false">IF(SUM(R107:W107)&gt;0, 1, "")</f>
        <v/>
      </c>
      <c r="R107" s="17"/>
      <c r="S107" s="17"/>
      <c r="T107" s="17"/>
      <c r="U107" s="17"/>
      <c r="V107" s="17"/>
      <c r="W107" s="17"/>
      <c r="X107" s="42" t="str">
        <f aca="false">IF(SUM(Y107:AD107)&gt;0, 1, "")</f>
        <v/>
      </c>
      <c r="Y107" s="17"/>
      <c r="Z107" s="17"/>
      <c r="AA107" s="17"/>
      <c r="AB107" s="17"/>
      <c r="AC107" s="17"/>
      <c r="AD107" s="17"/>
      <c r="AE107" s="42" t="str">
        <f aca="false">IF(SUM(AF107:AK107)&gt;0, 1, "")</f>
        <v/>
      </c>
      <c r="AF107" s="17"/>
      <c r="AJ107" s="17"/>
      <c r="AK107" s="17"/>
      <c r="AL107" s="42" t="str">
        <f aca="false">IF(SUM(AM107:AR107)&gt;0, 1, "")</f>
        <v/>
      </c>
      <c r="AM107" s="17"/>
      <c r="AN107" s="17"/>
      <c r="AO107" s="17"/>
      <c r="AP107" s="17"/>
      <c r="AQ107" s="17"/>
      <c r="AR107" s="17"/>
      <c r="AS107" s="42" t="str">
        <f aca="false">IF(SUM(AT107:AY107)&gt;0, 1, "")</f>
        <v/>
      </c>
      <c r="AT107" s="17"/>
      <c r="AU107" s="17"/>
      <c r="AV107" s="17"/>
      <c r="AW107" s="17"/>
      <c r="AX107" s="17"/>
      <c r="AZ107" s="42" t="str">
        <f aca="false">IF(SUM(BA107:BF107)&gt;0, 1, "")</f>
        <v/>
      </c>
      <c r="BB107" s="17"/>
      <c r="BC107" s="17"/>
      <c r="BD107" s="17"/>
      <c r="BE107" s="17"/>
      <c r="BF107" s="17"/>
      <c r="BG107" s="42" t="str">
        <f aca="false">IF(SUM(BH107:BM107)&gt;0, 1, "")</f>
        <v/>
      </c>
      <c r="BH107" s="17"/>
      <c r="BI107" s="17"/>
      <c r="BJ107" s="17"/>
      <c r="BK107" s="17"/>
      <c r="BL107" s="17"/>
      <c r="BM107" s="17"/>
    </row>
    <row r="108" customFormat="false" ht="15" hidden="false" customHeight="false" outlineLevel="0" collapsed="false">
      <c r="A108" s="17" t="s">
        <v>280</v>
      </c>
      <c r="B108" s="17" t="s">
        <v>281</v>
      </c>
      <c r="C108" s="42" t="str">
        <f aca="false">IF(SUM(D108:I108)&gt;0, 1, "")</f>
        <v/>
      </c>
      <c r="D108" s="17"/>
      <c r="E108" s="17"/>
      <c r="F108" s="17"/>
      <c r="G108" s="17"/>
      <c r="H108" s="17"/>
      <c r="I108" s="17"/>
      <c r="J108" s="42" t="str">
        <f aca="false">IF(SUM(K108:P108)&gt;0, 1, "")</f>
        <v/>
      </c>
      <c r="K108" s="17"/>
      <c r="L108" s="17"/>
      <c r="M108" s="17"/>
      <c r="N108" s="17"/>
      <c r="O108" s="17"/>
      <c r="P108" s="17"/>
      <c r="Q108" s="42" t="str">
        <f aca="false">IF(SUM(R108:W108)&gt;0, 1, "")</f>
        <v/>
      </c>
      <c r="R108" s="17"/>
      <c r="S108" s="17"/>
      <c r="T108" s="17"/>
      <c r="U108" s="17"/>
      <c r="V108" s="17"/>
      <c r="W108" s="17"/>
      <c r="X108" s="42" t="str">
        <f aca="false">IF(SUM(Y108:AD108)&gt;0, 1, "")</f>
        <v/>
      </c>
      <c r="Y108" s="17"/>
      <c r="Z108" s="17"/>
      <c r="AA108" s="17"/>
      <c r="AB108" s="17"/>
      <c r="AC108" s="17"/>
      <c r="AD108" s="17"/>
      <c r="AE108" s="42" t="str">
        <f aca="false">IF(SUM(AF108:AK108)&gt;0, 1, "")</f>
        <v/>
      </c>
      <c r="AF108" s="17"/>
      <c r="AJ108" s="17"/>
      <c r="AK108" s="17"/>
      <c r="AL108" s="42" t="str">
        <f aca="false">IF(SUM(AM108:AR108)&gt;0, 1, "")</f>
        <v/>
      </c>
      <c r="AM108" s="17"/>
      <c r="AN108" s="17"/>
      <c r="AO108" s="17"/>
      <c r="AP108" s="17"/>
      <c r="AQ108" s="17"/>
      <c r="AR108" s="17"/>
      <c r="AS108" s="42" t="str">
        <f aca="false">IF(SUM(AT108:AY108)&gt;0, 1, "")</f>
        <v/>
      </c>
      <c r="AT108" s="17"/>
      <c r="AU108" s="17"/>
      <c r="AV108" s="17"/>
      <c r="AW108" s="17"/>
      <c r="AX108" s="17"/>
      <c r="AZ108" s="42" t="str">
        <f aca="false">IF(SUM(BA108:BF108)&gt;0, 1, "")</f>
        <v/>
      </c>
      <c r="BB108" s="17"/>
      <c r="BC108" s="17"/>
      <c r="BD108" s="17"/>
      <c r="BE108" s="17"/>
      <c r="BF108" s="17"/>
      <c r="BG108" s="42" t="str">
        <f aca="false">IF(SUM(BH108:BM108)&gt;0, 1, "")</f>
        <v/>
      </c>
      <c r="BH108" s="17"/>
      <c r="BI108" s="17"/>
      <c r="BJ108" s="17"/>
      <c r="BK108" s="17"/>
      <c r="BL108" s="17"/>
      <c r="BM108" s="17"/>
    </row>
    <row r="109" customFormat="false" ht="15" hidden="false" customHeight="false" outlineLevel="0" collapsed="false">
      <c r="A109" s="17" t="s">
        <v>282</v>
      </c>
      <c r="B109" s="17" t="s">
        <v>283</v>
      </c>
      <c r="C109" s="42" t="str">
        <f aca="false">IF(SUM(D109:I109)&gt;0, 1, "")</f>
        <v/>
      </c>
      <c r="D109" s="17"/>
      <c r="E109" s="17"/>
      <c r="F109" s="17"/>
      <c r="G109" s="17"/>
      <c r="H109" s="17"/>
      <c r="I109" s="17"/>
      <c r="J109" s="42" t="str">
        <f aca="false">IF(SUM(K109:P109)&gt;0, 1, "")</f>
        <v/>
      </c>
      <c r="K109" s="17"/>
      <c r="L109" s="17"/>
      <c r="M109" s="17"/>
      <c r="N109" s="17"/>
      <c r="O109" s="17"/>
      <c r="P109" s="17"/>
      <c r="Q109" s="42" t="str">
        <f aca="false">IF(SUM(R109:W109)&gt;0, 1, "")</f>
        <v/>
      </c>
      <c r="R109" s="17"/>
      <c r="S109" s="17"/>
      <c r="T109" s="17"/>
      <c r="U109" s="17"/>
      <c r="V109" s="17"/>
      <c r="W109" s="17"/>
      <c r="X109" s="42" t="str">
        <f aca="false">IF(SUM(Y109:AD109)&gt;0, 1, "")</f>
        <v/>
      </c>
      <c r="Y109" s="17"/>
      <c r="Z109" s="17"/>
      <c r="AA109" s="17"/>
      <c r="AB109" s="17"/>
      <c r="AC109" s="17"/>
      <c r="AD109" s="17"/>
      <c r="AE109" s="42" t="str">
        <f aca="false">IF(SUM(AF109:AK109)&gt;0, 1, "")</f>
        <v/>
      </c>
      <c r="AF109" s="17"/>
      <c r="AJ109" s="17"/>
      <c r="AK109" s="17"/>
      <c r="AL109" s="42" t="str">
        <f aca="false">IF(SUM(AM109:AR109)&gt;0, 1, "")</f>
        <v/>
      </c>
      <c r="AM109" s="17"/>
      <c r="AN109" s="17"/>
      <c r="AO109" s="17"/>
      <c r="AP109" s="17"/>
      <c r="AQ109" s="17"/>
      <c r="AR109" s="17"/>
      <c r="AS109" s="42" t="str">
        <f aca="false">IF(SUM(AT109:AY109)&gt;0, 1, "")</f>
        <v/>
      </c>
      <c r="AT109" s="17"/>
      <c r="AU109" s="17"/>
      <c r="AV109" s="17"/>
      <c r="AW109" s="17"/>
      <c r="AX109" s="17"/>
      <c r="AZ109" s="42" t="str">
        <f aca="false">IF(SUM(BA109:BF109)&gt;0, 1, "")</f>
        <v/>
      </c>
      <c r="BB109" s="17"/>
      <c r="BC109" s="17"/>
      <c r="BD109" s="17"/>
      <c r="BE109" s="17"/>
      <c r="BF109" s="17"/>
      <c r="BG109" s="42" t="str">
        <f aca="false">IF(SUM(BH109:BM109)&gt;0, 1, "")</f>
        <v/>
      </c>
      <c r="BH109" s="17"/>
      <c r="BI109" s="17"/>
      <c r="BJ109" s="17"/>
      <c r="BK109" s="17"/>
      <c r="BL109" s="17"/>
      <c r="BM109" s="17"/>
    </row>
    <row r="110" customFormat="false" ht="15" hidden="false" customHeight="false" outlineLevel="0" collapsed="false">
      <c r="A110" s="17" t="s">
        <v>284</v>
      </c>
      <c r="B110" s="17" t="s">
        <v>285</v>
      </c>
      <c r="C110" s="42" t="str">
        <f aca="false">IF(SUM(D110:I110)&gt;0, 1, "")</f>
        <v/>
      </c>
      <c r="D110" s="17"/>
      <c r="E110" s="17"/>
      <c r="F110" s="17"/>
      <c r="G110" s="17"/>
      <c r="H110" s="17"/>
      <c r="I110" s="17"/>
      <c r="J110" s="42" t="str">
        <f aca="false">IF(SUM(K110:P110)&gt;0, 1, "")</f>
        <v/>
      </c>
      <c r="K110" s="17"/>
      <c r="L110" s="17"/>
      <c r="M110" s="17"/>
      <c r="N110" s="17"/>
      <c r="O110" s="17"/>
      <c r="P110" s="17"/>
      <c r="Q110" s="42" t="str">
        <f aca="false">IF(SUM(R110:W110)&gt;0, 1, "")</f>
        <v/>
      </c>
      <c r="R110" s="17"/>
      <c r="S110" s="17"/>
      <c r="T110" s="17"/>
      <c r="U110" s="17"/>
      <c r="V110" s="17"/>
      <c r="W110" s="17"/>
      <c r="X110" s="42" t="str">
        <f aca="false">IF(SUM(Y110:AD110)&gt;0, 1, "")</f>
        <v/>
      </c>
      <c r="Y110" s="17"/>
      <c r="Z110" s="17"/>
      <c r="AA110" s="17"/>
      <c r="AB110" s="17"/>
      <c r="AC110" s="17"/>
      <c r="AD110" s="17"/>
      <c r="AE110" s="42" t="str">
        <f aca="false">IF(SUM(AF110:AK110)&gt;0, 1, "")</f>
        <v/>
      </c>
      <c r="AF110" s="17"/>
      <c r="AJ110" s="17"/>
      <c r="AK110" s="17"/>
      <c r="AL110" s="42" t="str">
        <f aca="false">IF(SUM(AM110:AR110)&gt;0, 1, "")</f>
        <v/>
      </c>
      <c r="AM110" s="17"/>
      <c r="AN110" s="17"/>
      <c r="AO110" s="17"/>
      <c r="AP110" s="17"/>
      <c r="AQ110" s="17"/>
      <c r="AR110" s="17"/>
      <c r="AS110" s="42" t="str">
        <f aca="false">IF(SUM(AT110:AY110)&gt;0, 1, "")</f>
        <v/>
      </c>
      <c r="AT110" s="17"/>
      <c r="AU110" s="17"/>
      <c r="AV110" s="17"/>
      <c r="AW110" s="17"/>
      <c r="AX110" s="17"/>
      <c r="AZ110" s="42" t="str">
        <f aca="false">IF(SUM(BA110:BF110)&gt;0, 1, "")</f>
        <v/>
      </c>
      <c r="BB110" s="17"/>
      <c r="BC110" s="17"/>
      <c r="BD110" s="17"/>
      <c r="BE110" s="17"/>
      <c r="BF110" s="17"/>
      <c r="BG110" s="42" t="str">
        <f aca="false">IF(SUM(BH110:BM110)&gt;0, 1, "")</f>
        <v/>
      </c>
      <c r="BH110" s="17"/>
      <c r="BI110" s="17"/>
      <c r="BJ110" s="17"/>
      <c r="BK110" s="17"/>
      <c r="BL110" s="17"/>
      <c r="BM110" s="17"/>
    </row>
    <row r="111" customFormat="false" ht="15" hidden="false" customHeight="false" outlineLevel="0" collapsed="false">
      <c r="A111" s="17" t="s">
        <v>286</v>
      </c>
      <c r="B111" s="17" t="s">
        <v>287</v>
      </c>
      <c r="C111" s="42" t="str">
        <f aca="false">IF(SUM(D111:I111)&gt;0, 1, "")</f>
        <v/>
      </c>
      <c r="D111" s="17"/>
      <c r="E111" s="17"/>
      <c r="F111" s="17"/>
      <c r="G111" s="17"/>
      <c r="H111" s="17"/>
      <c r="I111" s="17"/>
      <c r="J111" s="42" t="str">
        <f aca="false">IF(SUM(K111:P111)&gt;0, 1, "")</f>
        <v/>
      </c>
      <c r="K111" s="17"/>
      <c r="L111" s="17"/>
      <c r="M111" s="17"/>
      <c r="N111" s="17"/>
      <c r="O111" s="17"/>
      <c r="P111" s="17"/>
      <c r="Q111" s="42" t="str">
        <f aca="false">IF(SUM(R111:W111)&gt;0, 1, "")</f>
        <v/>
      </c>
      <c r="R111" s="17"/>
      <c r="S111" s="17"/>
      <c r="T111" s="17"/>
      <c r="U111" s="17"/>
      <c r="V111" s="17"/>
      <c r="W111" s="17"/>
      <c r="X111" s="42" t="str">
        <f aca="false">IF(SUM(Y111:AD111)&gt;0, 1, "")</f>
        <v/>
      </c>
      <c r="Y111" s="17"/>
      <c r="Z111" s="17"/>
      <c r="AA111" s="17"/>
      <c r="AB111" s="17"/>
      <c r="AC111" s="17"/>
      <c r="AD111" s="17"/>
      <c r="AE111" s="42" t="str">
        <f aca="false">IF(SUM(AF111:AK111)&gt;0, 1, "")</f>
        <v/>
      </c>
      <c r="AF111" s="17"/>
      <c r="AJ111" s="17"/>
      <c r="AK111" s="17"/>
      <c r="AL111" s="42" t="str">
        <f aca="false">IF(SUM(AM111:AR111)&gt;0, 1, "")</f>
        <v/>
      </c>
      <c r="AM111" s="17"/>
      <c r="AN111" s="17"/>
      <c r="AO111" s="17"/>
      <c r="AP111" s="17"/>
      <c r="AQ111" s="17"/>
      <c r="AR111" s="17"/>
      <c r="AS111" s="42" t="str">
        <f aca="false">IF(SUM(AT111:AY111)&gt;0, 1, "")</f>
        <v/>
      </c>
      <c r="AT111" s="17"/>
      <c r="AU111" s="17"/>
      <c r="AV111" s="17"/>
      <c r="AW111" s="17"/>
      <c r="AX111" s="17"/>
      <c r="AZ111" s="42" t="str">
        <f aca="false">IF(SUM(BA111:BF111)&gt;0, 1, "")</f>
        <v/>
      </c>
      <c r="BB111" s="17"/>
      <c r="BC111" s="17"/>
      <c r="BD111" s="17"/>
      <c r="BE111" s="17"/>
      <c r="BF111" s="17"/>
      <c r="BG111" s="42" t="str">
        <f aca="false">IF(SUM(BH111:BM111)&gt;0, 1, "")</f>
        <v/>
      </c>
      <c r="BH111" s="17"/>
      <c r="BI111" s="17"/>
      <c r="BJ111" s="17"/>
      <c r="BK111" s="17"/>
      <c r="BL111" s="17"/>
      <c r="BM111" s="17"/>
    </row>
    <row r="112" customFormat="false" ht="15" hidden="false" customHeight="false" outlineLevel="0" collapsed="false">
      <c r="A112" s="17" t="s">
        <v>288</v>
      </c>
      <c r="B112" s="17" t="s">
        <v>289</v>
      </c>
      <c r="C112" s="42" t="str">
        <f aca="false">IF(SUM(D112:I112)&gt;0, 1, "")</f>
        <v/>
      </c>
      <c r="D112" s="17"/>
      <c r="E112" s="17"/>
      <c r="F112" s="17"/>
      <c r="G112" s="17"/>
      <c r="H112" s="17"/>
      <c r="I112" s="17"/>
      <c r="J112" s="42" t="str">
        <f aca="false">IF(SUM(K112:P112)&gt;0, 1, "")</f>
        <v/>
      </c>
      <c r="K112" s="17"/>
      <c r="L112" s="17"/>
      <c r="M112" s="17"/>
      <c r="N112" s="17"/>
      <c r="O112" s="17"/>
      <c r="P112" s="17"/>
      <c r="Q112" s="42" t="str">
        <f aca="false">IF(SUM(R112:W112)&gt;0, 1, "")</f>
        <v/>
      </c>
      <c r="R112" s="17"/>
      <c r="S112" s="17"/>
      <c r="T112" s="17"/>
      <c r="U112" s="17"/>
      <c r="V112" s="17"/>
      <c r="W112" s="17"/>
      <c r="X112" s="42" t="str">
        <f aca="false">IF(SUM(Y112:AD112)&gt;0, 1, "")</f>
        <v/>
      </c>
      <c r="Y112" s="17"/>
      <c r="Z112" s="17"/>
      <c r="AA112" s="17"/>
      <c r="AB112" s="17"/>
      <c r="AC112" s="17"/>
      <c r="AD112" s="17"/>
      <c r="AE112" s="42" t="str">
        <f aca="false">IF(SUM(AF112:AK112)&gt;0, 1, "")</f>
        <v/>
      </c>
      <c r="AF112" s="17"/>
      <c r="AJ112" s="17"/>
      <c r="AK112" s="17"/>
      <c r="AL112" s="42" t="str">
        <f aca="false">IF(SUM(AM112:AR112)&gt;0, 1, "")</f>
        <v/>
      </c>
      <c r="AM112" s="17"/>
      <c r="AN112" s="17"/>
      <c r="AO112" s="17"/>
      <c r="AP112" s="17"/>
      <c r="AQ112" s="17"/>
      <c r="AR112" s="17"/>
      <c r="AS112" s="42" t="str">
        <f aca="false">IF(SUM(AT112:AY112)&gt;0, 1, "")</f>
        <v/>
      </c>
      <c r="AT112" s="17"/>
      <c r="AU112" s="17"/>
      <c r="AV112" s="17"/>
      <c r="AW112" s="17"/>
      <c r="AX112" s="17"/>
      <c r="AZ112" s="42" t="str">
        <f aca="false">IF(SUM(BA112:BF112)&gt;0, 1, "")</f>
        <v/>
      </c>
      <c r="BB112" s="17"/>
      <c r="BC112" s="17"/>
      <c r="BD112" s="17"/>
      <c r="BE112" s="17"/>
      <c r="BF112" s="17"/>
      <c r="BG112" s="42" t="str">
        <f aca="false">IF(SUM(BH112:BM112)&gt;0, 1, "")</f>
        <v/>
      </c>
      <c r="BH112" s="17"/>
      <c r="BI112" s="17"/>
      <c r="BJ112" s="17"/>
      <c r="BK112" s="17"/>
      <c r="BL112" s="17"/>
      <c r="BM112" s="17"/>
    </row>
    <row r="113" customFormat="false" ht="15" hidden="false" customHeight="false" outlineLevel="0" collapsed="false">
      <c r="A113" s="17" t="s">
        <v>290</v>
      </c>
      <c r="B113" s="17" t="s">
        <v>291</v>
      </c>
      <c r="C113" s="42" t="str">
        <f aca="false">IF(SUM(D113:I113)&gt;0, 1, "")</f>
        <v/>
      </c>
      <c r="D113" s="17"/>
      <c r="E113" s="17"/>
      <c r="F113" s="17"/>
      <c r="G113" s="17"/>
      <c r="H113" s="17"/>
      <c r="I113" s="17"/>
      <c r="J113" s="42" t="str">
        <f aca="false">IF(SUM(K113:P113)&gt;0, 1, "")</f>
        <v/>
      </c>
      <c r="K113" s="17"/>
      <c r="L113" s="17"/>
      <c r="M113" s="17"/>
      <c r="N113" s="17"/>
      <c r="O113" s="17"/>
      <c r="P113" s="17"/>
      <c r="Q113" s="42" t="str">
        <f aca="false">IF(SUM(R113:W113)&gt;0, 1, "")</f>
        <v/>
      </c>
      <c r="R113" s="17"/>
      <c r="S113" s="17"/>
      <c r="T113" s="17"/>
      <c r="U113" s="17"/>
      <c r="V113" s="17"/>
      <c r="W113" s="17"/>
      <c r="X113" s="42" t="str">
        <f aca="false">IF(SUM(Y113:AD113)&gt;0, 1, "")</f>
        <v/>
      </c>
      <c r="Y113" s="17"/>
      <c r="Z113" s="17"/>
      <c r="AA113" s="17"/>
      <c r="AB113" s="17"/>
      <c r="AC113" s="17"/>
      <c r="AD113" s="17"/>
      <c r="AE113" s="42" t="str">
        <f aca="false">IF(SUM(AF113:AK113)&gt;0, 1, "")</f>
        <v/>
      </c>
      <c r="AF113" s="17"/>
      <c r="AJ113" s="17"/>
      <c r="AK113" s="17"/>
      <c r="AL113" s="42" t="str">
        <f aca="false">IF(SUM(AM113:AR113)&gt;0, 1, "")</f>
        <v/>
      </c>
      <c r="AM113" s="17"/>
      <c r="AN113" s="17"/>
      <c r="AO113" s="17"/>
      <c r="AP113" s="17"/>
      <c r="AQ113" s="17"/>
      <c r="AR113" s="17"/>
      <c r="AS113" s="42" t="str">
        <f aca="false">IF(SUM(AT113:AY113)&gt;0, 1, "")</f>
        <v/>
      </c>
      <c r="AT113" s="17"/>
      <c r="AU113" s="17"/>
      <c r="AV113" s="17"/>
      <c r="AW113" s="17"/>
      <c r="AX113" s="17"/>
      <c r="AZ113" s="42" t="str">
        <f aca="false">IF(SUM(BA113:BF113)&gt;0, 1, "")</f>
        <v/>
      </c>
      <c r="BB113" s="17"/>
      <c r="BC113" s="17"/>
      <c r="BD113" s="17"/>
      <c r="BE113" s="17"/>
      <c r="BF113" s="17"/>
      <c r="BG113" s="42" t="str">
        <f aca="false">IF(SUM(BH113:BM113)&gt;0, 1, "")</f>
        <v/>
      </c>
      <c r="BH113" s="17"/>
      <c r="BI113" s="17"/>
      <c r="BJ113" s="17"/>
      <c r="BK113" s="17"/>
      <c r="BL113" s="17"/>
      <c r="BM113" s="17"/>
    </row>
    <row r="114" customFormat="false" ht="15" hidden="false" customHeight="false" outlineLevel="0" collapsed="false">
      <c r="A114" s="17" t="s">
        <v>292</v>
      </c>
      <c r="B114" s="17" t="s">
        <v>293</v>
      </c>
      <c r="C114" s="42" t="str">
        <f aca="false">IF(SUM(D114:I114)&gt;0, 1, "")</f>
        <v/>
      </c>
      <c r="D114" s="17"/>
      <c r="E114" s="17"/>
      <c r="F114" s="17"/>
      <c r="G114" s="17"/>
      <c r="H114" s="17"/>
      <c r="I114" s="17"/>
      <c r="J114" s="42" t="str">
        <f aca="false">IF(SUM(K114:P114)&gt;0, 1, "")</f>
        <v/>
      </c>
      <c r="K114" s="17"/>
      <c r="L114" s="17"/>
      <c r="M114" s="17"/>
      <c r="N114" s="17"/>
      <c r="O114" s="17"/>
      <c r="P114" s="17"/>
      <c r="Q114" s="42" t="str">
        <f aca="false">IF(SUM(R114:W114)&gt;0, 1, "")</f>
        <v/>
      </c>
      <c r="R114" s="17"/>
      <c r="S114" s="17"/>
      <c r="T114" s="17"/>
      <c r="U114" s="17"/>
      <c r="V114" s="17"/>
      <c r="W114" s="17"/>
      <c r="X114" s="42" t="str">
        <f aca="false">IF(SUM(Y114:AD114)&gt;0, 1, "")</f>
        <v/>
      </c>
      <c r="Y114" s="17"/>
      <c r="Z114" s="17"/>
      <c r="AA114" s="17"/>
      <c r="AB114" s="17"/>
      <c r="AC114" s="17"/>
      <c r="AD114" s="17"/>
      <c r="AE114" s="42" t="str">
        <f aca="false">IF(SUM(AF114:AK114)&gt;0, 1, "")</f>
        <v/>
      </c>
      <c r="AF114" s="17"/>
      <c r="AJ114" s="17"/>
      <c r="AK114" s="17"/>
      <c r="AL114" s="42" t="str">
        <f aca="false">IF(SUM(AM114:AR114)&gt;0, 1, "")</f>
        <v/>
      </c>
      <c r="AM114" s="17"/>
      <c r="AN114" s="17"/>
      <c r="AO114" s="17"/>
      <c r="AP114" s="17"/>
      <c r="AQ114" s="17"/>
      <c r="AR114" s="17"/>
      <c r="AS114" s="42" t="str">
        <f aca="false">IF(SUM(AT114:AY114)&gt;0, 1, "")</f>
        <v/>
      </c>
      <c r="AT114" s="17"/>
      <c r="AU114" s="17"/>
      <c r="AV114" s="17"/>
      <c r="AW114" s="17"/>
      <c r="AX114" s="17"/>
      <c r="AZ114" s="42" t="str">
        <f aca="false">IF(SUM(BA114:BF114)&gt;0, 1, "")</f>
        <v/>
      </c>
      <c r="BB114" s="17"/>
      <c r="BC114" s="17"/>
      <c r="BD114" s="17"/>
      <c r="BE114" s="17"/>
      <c r="BF114" s="17"/>
      <c r="BG114" s="42" t="str">
        <f aca="false">IF(SUM(BH114:BM114)&gt;0, 1, "")</f>
        <v/>
      </c>
      <c r="BH114" s="17"/>
      <c r="BI114" s="17"/>
      <c r="BJ114" s="17"/>
      <c r="BK114" s="17"/>
      <c r="BL114" s="17"/>
      <c r="BM114" s="17"/>
    </row>
    <row r="115" customFormat="false" ht="15" hidden="false" customHeight="false" outlineLevel="0" collapsed="false">
      <c r="A115" s="17" t="s">
        <v>294</v>
      </c>
      <c r="B115" s="17" t="s">
        <v>295</v>
      </c>
      <c r="C115" s="42" t="str">
        <f aca="false">IF(SUM(D115:I115)&gt;0, 1, "")</f>
        <v/>
      </c>
      <c r="D115" s="17"/>
      <c r="E115" s="17"/>
      <c r="F115" s="17"/>
      <c r="G115" s="17"/>
      <c r="H115" s="17"/>
      <c r="I115" s="17"/>
      <c r="J115" s="42" t="str">
        <f aca="false">IF(SUM(K115:P115)&gt;0, 1, "")</f>
        <v/>
      </c>
      <c r="K115" s="17"/>
      <c r="L115" s="17"/>
      <c r="M115" s="17"/>
      <c r="N115" s="17"/>
      <c r="O115" s="17"/>
      <c r="P115" s="17"/>
      <c r="Q115" s="42" t="str">
        <f aca="false">IF(SUM(R115:W115)&gt;0, 1, "")</f>
        <v/>
      </c>
      <c r="R115" s="17"/>
      <c r="S115" s="17"/>
      <c r="T115" s="17"/>
      <c r="U115" s="17"/>
      <c r="V115" s="17"/>
      <c r="W115" s="17"/>
      <c r="X115" s="42" t="str">
        <f aca="false">IF(SUM(Y115:AD115)&gt;0, 1, "")</f>
        <v/>
      </c>
      <c r="Y115" s="17"/>
      <c r="Z115" s="17"/>
      <c r="AA115" s="17"/>
      <c r="AB115" s="17"/>
      <c r="AC115" s="17"/>
      <c r="AD115" s="17"/>
      <c r="AE115" s="42" t="str">
        <f aca="false">IF(SUM(AF115:AK115)&gt;0, 1, "")</f>
        <v/>
      </c>
      <c r="AF115" s="17"/>
      <c r="AJ115" s="17"/>
      <c r="AK115" s="17"/>
      <c r="AL115" s="42" t="str">
        <f aca="false">IF(SUM(AM115:AR115)&gt;0, 1, "")</f>
        <v/>
      </c>
      <c r="AM115" s="17"/>
      <c r="AN115" s="17"/>
      <c r="AO115" s="17"/>
      <c r="AP115" s="17"/>
      <c r="AQ115" s="17"/>
      <c r="AR115" s="17"/>
      <c r="AS115" s="42" t="str">
        <f aca="false">IF(SUM(AT115:AY115)&gt;0, 1, "")</f>
        <v/>
      </c>
      <c r="AT115" s="17"/>
      <c r="AU115" s="17"/>
      <c r="AV115" s="17"/>
      <c r="AW115" s="17"/>
      <c r="AX115" s="17"/>
      <c r="AZ115" s="42" t="str">
        <f aca="false">IF(SUM(BA115:BF115)&gt;0, 1, "")</f>
        <v/>
      </c>
      <c r="BB115" s="17"/>
      <c r="BC115" s="17"/>
      <c r="BD115" s="17"/>
      <c r="BE115" s="17"/>
      <c r="BF115" s="17"/>
      <c r="BG115" s="42" t="str">
        <f aca="false">IF(SUM(BH115:BM115)&gt;0, 1, "")</f>
        <v/>
      </c>
      <c r="BH115" s="17"/>
      <c r="BI115" s="17"/>
      <c r="BJ115" s="17"/>
      <c r="BK115" s="17"/>
      <c r="BL115" s="17"/>
      <c r="BM115" s="17"/>
    </row>
    <row r="116" customFormat="false" ht="15" hidden="false" customHeight="false" outlineLevel="0" collapsed="false">
      <c r="A116" s="17" t="s">
        <v>296</v>
      </c>
      <c r="B116" s="17" t="s">
        <v>297</v>
      </c>
      <c r="C116" s="42" t="str">
        <f aca="false">IF(SUM(D116:I116)&gt;0, 1, "")</f>
        <v/>
      </c>
      <c r="D116" s="17"/>
      <c r="E116" s="17"/>
      <c r="F116" s="17"/>
      <c r="G116" s="17"/>
      <c r="H116" s="17"/>
      <c r="I116" s="17"/>
      <c r="J116" s="42" t="str">
        <f aca="false">IF(SUM(K116:P116)&gt;0, 1, "")</f>
        <v/>
      </c>
      <c r="K116" s="17"/>
      <c r="L116" s="17"/>
      <c r="M116" s="17"/>
      <c r="N116" s="17"/>
      <c r="O116" s="17"/>
      <c r="P116" s="17"/>
      <c r="Q116" s="42" t="str">
        <f aca="false">IF(SUM(R116:W116)&gt;0, 1, "")</f>
        <v/>
      </c>
      <c r="R116" s="17"/>
      <c r="S116" s="17"/>
      <c r="T116" s="17"/>
      <c r="U116" s="17"/>
      <c r="V116" s="17"/>
      <c r="W116" s="17"/>
      <c r="X116" s="42" t="str">
        <f aca="false">IF(SUM(Y116:AD116)&gt;0, 1, "")</f>
        <v/>
      </c>
      <c r="Y116" s="17"/>
      <c r="Z116" s="17"/>
      <c r="AA116" s="17"/>
      <c r="AB116" s="17"/>
      <c r="AC116" s="17"/>
      <c r="AD116" s="17"/>
      <c r="AE116" s="42" t="str">
        <f aca="false">IF(SUM(AF116:AK116)&gt;0, 1, "")</f>
        <v/>
      </c>
      <c r="AF116" s="17"/>
      <c r="AJ116" s="17"/>
      <c r="AK116" s="17"/>
      <c r="AL116" s="42" t="str">
        <f aca="false">IF(SUM(AM116:AR116)&gt;0, 1, "")</f>
        <v/>
      </c>
      <c r="AM116" s="17"/>
      <c r="AN116" s="17"/>
      <c r="AO116" s="17"/>
      <c r="AP116" s="17"/>
      <c r="AQ116" s="17"/>
      <c r="AR116" s="17"/>
      <c r="AS116" s="42" t="str">
        <f aca="false">IF(SUM(AT116:AY116)&gt;0, 1, "")</f>
        <v/>
      </c>
      <c r="AT116" s="17"/>
      <c r="AU116" s="17"/>
      <c r="AV116" s="17"/>
      <c r="AW116" s="17"/>
      <c r="AX116" s="17"/>
      <c r="AZ116" s="42" t="str">
        <f aca="false">IF(SUM(BA116:BF116)&gt;0, 1, "")</f>
        <v/>
      </c>
      <c r="BB116" s="17"/>
      <c r="BC116" s="17"/>
      <c r="BD116" s="17"/>
      <c r="BE116" s="17"/>
      <c r="BF116" s="17"/>
      <c r="BG116" s="42" t="str">
        <f aca="false">IF(SUM(BH116:BM116)&gt;0, 1, "")</f>
        <v/>
      </c>
      <c r="BH116" s="17"/>
      <c r="BI116" s="17"/>
      <c r="BJ116" s="17"/>
      <c r="BK116" s="17"/>
      <c r="BL116" s="17"/>
      <c r="BM116" s="17"/>
    </row>
    <row r="117" customFormat="false" ht="15" hidden="false" customHeight="false" outlineLevel="0" collapsed="false">
      <c r="A117" s="17" t="s">
        <v>298</v>
      </c>
      <c r="B117" s="17" t="s">
        <v>299</v>
      </c>
      <c r="C117" s="42" t="str">
        <f aca="false">IF(SUM(D117:I117)&gt;0, 1, "")</f>
        <v/>
      </c>
      <c r="D117" s="17"/>
      <c r="E117" s="17"/>
      <c r="F117" s="17"/>
      <c r="G117" s="17"/>
      <c r="H117" s="17"/>
      <c r="I117" s="17"/>
      <c r="J117" s="42" t="str">
        <f aca="false">IF(SUM(K117:P117)&gt;0, 1, "")</f>
        <v/>
      </c>
      <c r="K117" s="17"/>
      <c r="L117" s="17"/>
      <c r="M117" s="17"/>
      <c r="N117" s="17"/>
      <c r="O117" s="17"/>
      <c r="P117" s="17"/>
      <c r="Q117" s="42" t="str">
        <f aca="false">IF(SUM(R117:W117)&gt;0, 1, "")</f>
        <v/>
      </c>
      <c r="R117" s="17"/>
      <c r="S117" s="17"/>
      <c r="T117" s="17"/>
      <c r="U117" s="17"/>
      <c r="V117" s="17"/>
      <c r="W117" s="17"/>
      <c r="X117" s="42" t="str">
        <f aca="false">IF(SUM(Y117:AD117)&gt;0, 1, "")</f>
        <v/>
      </c>
      <c r="Y117" s="17"/>
      <c r="Z117" s="17"/>
      <c r="AA117" s="17"/>
      <c r="AB117" s="17"/>
      <c r="AC117" s="17"/>
      <c r="AD117" s="17"/>
      <c r="AE117" s="42" t="str">
        <f aca="false">IF(SUM(AF117:AK117)&gt;0, 1, "")</f>
        <v/>
      </c>
      <c r="AF117" s="17"/>
      <c r="AJ117" s="17"/>
      <c r="AK117" s="17"/>
      <c r="AL117" s="42" t="str">
        <f aca="false">IF(SUM(AM117:AR117)&gt;0, 1, "")</f>
        <v/>
      </c>
      <c r="AM117" s="17"/>
      <c r="AN117" s="17"/>
      <c r="AO117" s="17"/>
      <c r="AP117" s="17"/>
      <c r="AQ117" s="17"/>
      <c r="AR117" s="17"/>
      <c r="AS117" s="42" t="str">
        <f aca="false">IF(SUM(AT117:AY117)&gt;0, 1, "")</f>
        <v/>
      </c>
      <c r="AT117" s="17"/>
      <c r="AU117" s="17"/>
      <c r="AV117" s="17"/>
      <c r="AW117" s="17"/>
      <c r="AX117" s="17"/>
      <c r="AZ117" s="42" t="str">
        <f aca="false">IF(SUM(BA117:BF117)&gt;0, 1, "")</f>
        <v/>
      </c>
      <c r="BB117" s="17"/>
      <c r="BC117" s="17"/>
      <c r="BD117" s="17"/>
      <c r="BE117" s="17"/>
      <c r="BF117" s="17"/>
      <c r="BG117" s="42" t="str">
        <f aca="false">IF(SUM(BH117:BM117)&gt;0, 1, "")</f>
        <v/>
      </c>
      <c r="BH117" s="17"/>
      <c r="BI117" s="17"/>
      <c r="BJ117" s="17"/>
      <c r="BK117" s="17"/>
      <c r="BL117" s="17"/>
      <c r="BM117" s="17"/>
    </row>
    <row r="118" customFormat="false" ht="15" hidden="false" customHeight="false" outlineLevel="0" collapsed="false">
      <c r="A118" s="17" t="s">
        <v>300</v>
      </c>
      <c r="B118" s="17" t="s">
        <v>301</v>
      </c>
      <c r="C118" s="42" t="str">
        <f aca="false">IF(SUM(D118:I118)&gt;0, 1, "")</f>
        <v/>
      </c>
      <c r="D118" s="17"/>
      <c r="E118" s="17"/>
      <c r="F118" s="17"/>
      <c r="G118" s="17"/>
      <c r="H118" s="17"/>
      <c r="I118" s="17"/>
      <c r="J118" s="42" t="str">
        <f aca="false">IF(SUM(K118:P118)&gt;0, 1, "")</f>
        <v/>
      </c>
      <c r="K118" s="17"/>
      <c r="L118" s="17"/>
      <c r="M118" s="17"/>
      <c r="N118" s="17"/>
      <c r="O118" s="17"/>
      <c r="P118" s="17"/>
      <c r="Q118" s="42" t="str">
        <f aca="false">IF(SUM(R118:W118)&gt;0, 1, "")</f>
        <v/>
      </c>
      <c r="R118" s="17"/>
      <c r="S118" s="17"/>
      <c r="T118" s="17"/>
      <c r="U118" s="17"/>
      <c r="V118" s="17"/>
      <c r="W118" s="17"/>
      <c r="X118" s="42" t="str">
        <f aca="false">IF(SUM(Y118:AD118)&gt;0, 1, "")</f>
        <v/>
      </c>
      <c r="Y118" s="17"/>
      <c r="Z118" s="17"/>
      <c r="AA118" s="17"/>
      <c r="AB118" s="17"/>
      <c r="AC118" s="17"/>
      <c r="AD118" s="17"/>
      <c r="AE118" s="42" t="str">
        <f aca="false">IF(SUM(AF118:AK118)&gt;0, 1, "")</f>
        <v/>
      </c>
      <c r="AF118" s="17"/>
      <c r="AJ118" s="17"/>
      <c r="AK118" s="17"/>
      <c r="AL118" s="42" t="str">
        <f aca="false">IF(SUM(AM118:AR118)&gt;0, 1, "")</f>
        <v/>
      </c>
      <c r="AM118" s="17"/>
      <c r="AN118" s="17"/>
      <c r="AO118" s="17"/>
      <c r="AP118" s="17"/>
      <c r="AQ118" s="17"/>
      <c r="AR118" s="17"/>
      <c r="AS118" s="42" t="str">
        <f aca="false">IF(SUM(AT118:AY118)&gt;0, 1, "")</f>
        <v/>
      </c>
      <c r="AT118" s="17"/>
      <c r="AU118" s="17"/>
      <c r="AV118" s="17"/>
      <c r="AW118" s="17"/>
      <c r="AX118" s="17"/>
      <c r="AZ118" s="42" t="str">
        <f aca="false">IF(SUM(BA118:BF118)&gt;0, 1, "")</f>
        <v/>
      </c>
      <c r="BB118" s="17"/>
      <c r="BC118" s="17"/>
      <c r="BD118" s="17"/>
      <c r="BE118" s="17"/>
      <c r="BF118" s="17"/>
      <c r="BG118" s="42" t="str">
        <f aca="false">IF(SUM(BH118:BM118)&gt;0, 1, "")</f>
        <v/>
      </c>
      <c r="BH118" s="17"/>
      <c r="BI118" s="17"/>
      <c r="BJ118" s="17"/>
      <c r="BK118" s="17"/>
      <c r="BL118" s="17"/>
      <c r="BM118" s="17"/>
    </row>
    <row r="119" customFormat="false" ht="15" hidden="false" customHeight="false" outlineLevel="0" collapsed="false">
      <c r="A119" s="17" t="s">
        <v>302</v>
      </c>
      <c r="B119" s="17" t="s">
        <v>303</v>
      </c>
      <c r="C119" s="42" t="str">
        <f aca="false">IF(SUM(D119:I119)&gt;0, 1, "")</f>
        <v/>
      </c>
      <c r="D119" s="17"/>
      <c r="E119" s="17"/>
      <c r="F119" s="17"/>
      <c r="G119" s="17"/>
      <c r="H119" s="17"/>
      <c r="I119" s="17"/>
      <c r="J119" s="42" t="str">
        <f aca="false">IF(SUM(K119:P119)&gt;0, 1, "")</f>
        <v/>
      </c>
      <c r="K119" s="17"/>
      <c r="L119" s="17"/>
      <c r="M119" s="17"/>
      <c r="N119" s="17"/>
      <c r="O119" s="17"/>
      <c r="P119" s="17"/>
      <c r="Q119" s="42" t="str">
        <f aca="false">IF(SUM(R119:W119)&gt;0, 1, "")</f>
        <v/>
      </c>
      <c r="R119" s="17"/>
      <c r="S119" s="17"/>
      <c r="T119" s="17"/>
      <c r="U119" s="17"/>
      <c r="V119" s="17"/>
      <c r="W119" s="17"/>
      <c r="X119" s="42" t="str">
        <f aca="false">IF(SUM(Y119:AD119)&gt;0, 1, "")</f>
        <v/>
      </c>
      <c r="Y119" s="17"/>
      <c r="Z119" s="17"/>
      <c r="AA119" s="17"/>
      <c r="AB119" s="17"/>
      <c r="AC119" s="17"/>
      <c r="AD119" s="17"/>
      <c r="AE119" s="42" t="str">
        <f aca="false">IF(SUM(AF119:AK119)&gt;0, 1, "")</f>
        <v/>
      </c>
      <c r="AF119" s="17"/>
      <c r="AJ119" s="17"/>
      <c r="AK119" s="17"/>
      <c r="AL119" s="42" t="str">
        <f aca="false">IF(SUM(AM119:AR119)&gt;0, 1, "")</f>
        <v/>
      </c>
      <c r="AM119" s="17"/>
      <c r="AN119" s="17"/>
      <c r="AO119" s="17"/>
      <c r="AP119" s="17"/>
      <c r="AQ119" s="17"/>
      <c r="AR119" s="17"/>
      <c r="AS119" s="42" t="str">
        <f aca="false">IF(SUM(AT119:AY119)&gt;0, 1, "")</f>
        <v/>
      </c>
      <c r="AT119" s="17"/>
      <c r="AU119" s="17"/>
      <c r="AV119" s="17"/>
      <c r="AW119" s="17"/>
      <c r="AX119" s="17"/>
      <c r="AZ119" s="42" t="str">
        <f aca="false">IF(SUM(BA119:BF119)&gt;0, 1, "")</f>
        <v/>
      </c>
      <c r="BB119" s="17"/>
      <c r="BC119" s="17"/>
      <c r="BD119" s="17"/>
      <c r="BE119" s="17"/>
      <c r="BF119" s="17"/>
      <c r="BG119" s="42" t="str">
        <f aca="false">IF(SUM(BH119:BM119)&gt;0, 1, "")</f>
        <v/>
      </c>
      <c r="BH119" s="17"/>
      <c r="BI119" s="17"/>
      <c r="BJ119" s="17"/>
      <c r="BK119" s="17"/>
      <c r="BL119" s="17"/>
      <c r="BM119" s="17"/>
    </row>
    <row r="120" customFormat="false" ht="15" hidden="false" customHeight="false" outlineLevel="0" collapsed="false">
      <c r="A120" s="17" t="s">
        <v>304</v>
      </c>
      <c r="B120" s="17" t="s">
        <v>305</v>
      </c>
      <c r="C120" s="42" t="str">
        <f aca="false">IF(SUM(D120:I120)&gt;0, 1, "")</f>
        <v/>
      </c>
      <c r="D120" s="17"/>
      <c r="E120" s="17"/>
      <c r="F120" s="17"/>
      <c r="G120" s="17"/>
      <c r="H120" s="17"/>
      <c r="I120" s="17"/>
      <c r="J120" s="42" t="str">
        <f aca="false">IF(SUM(K120:P120)&gt;0, 1, "")</f>
        <v/>
      </c>
      <c r="K120" s="17"/>
      <c r="L120" s="17"/>
      <c r="M120" s="17"/>
      <c r="N120" s="17"/>
      <c r="O120" s="17"/>
      <c r="P120" s="17"/>
      <c r="Q120" s="42" t="str">
        <f aca="false">IF(SUM(R120:W120)&gt;0, 1, "")</f>
        <v/>
      </c>
      <c r="R120" s="17"/>
      <c r="S120" s="17"/>
      <c r="T120" s="17"/>
      <c r="U120" s="17"/>
      <c r="V120" s="17"/>
      <c r="W120" s="17"/>
      <c r="X120" s="42" t="str">
        <f aca="false">IF(SUM(Y120:AD120)&gt;0, 1, "")</f>
        <v/>
      </c>
      <c r="Y120" s="17"/>
      <c r="Z120" s="17"/>
      <c r="AA120" s="17"/>
      <c r="AB120" s="17"/>
      <c r="AC120" s="17"/>
      <c r="AD120" s="17"/>
      <c r="AE120" s="42" t="str">
        <f aca="false">IF(SUM(AF120:AK120)&gt;0, 1, "")</f>
        <v/>
      </c>
      <c r="AF120" s="17"/>
      <c r="AJ120" s="17"/>
      <c r="AK120" s="17"/>
      <c r="AL120" s="42" t="str">
        <f aca="false">IF(SUM(AM120:AR120)&gt;0, 1, "")</f>
        <v/>
      </c>
      <c r="AM120" s="17"/>
      <c r="AN120" s="17"/>
      <c r="AO120" s="17"/>
      <c r="AP120" s="17"/>
      <c r="AQ120" s="17"/>
      <c r="AR120" s="17"/>
      <c r="AS120" s="42" t="str">
        <f aca="false">IF(SUM(AT120:AY120)&gt;0, 1, "")</f>
        <v/>
      </c>
      <c r="AT120" s="17"/>
      <c r="AU120" s="17"/>
      <c r="AV120" s="17"/>
      <c r="AW120" s="17"/>
      <c r="AX120" s="17"/>
      <c r="AZ120" s="42" t="str">
        <f aca="false">IF(SUM(BA120:BF120)&gt;0, 1, "")</f>
        <v/>
      </c>
      <c r="BB120" s="17"/>
      <c r="BC120" s="17"/>
      <c r="BD120" s="17"/>
      <c r="BE120" s="17"/>
      <c r="BF120" s="17"/>
      <c r="BG120" s="42" t="str">
        <f aca="false">IF(SUM(BH120:BM120)&gt;0, 1, "")</f>
        <v/>
      </c>
      <c r="BH120" s="17"/>
      <c r="BI120" s="17"/>
      <c r="BJ120" s="17"/>
      <c r="BK120" s="17"/>
      <c r="BL120" s="17"/>
      <c r="BM120" s="17"/>
    </row>
    <row r="121" customFormat="false" ht="15" hidden="false" customHeight="false" outlineLevel="0" collapsed="false">
      <c r="A121" s="17" t="s">
        <v>306</v>
      </c>
      <c r="B121" s="17" t="s">
        <v>307</v>
      </c>
      <c r="C121" s="42" t="str">
        <f aca="false">IF(SUM(D121:I121)&gt;0, 1, "")</f>
        <v/>
      </c>
      <c r="D121" s="17"/>
      <c r="E121" s="17"/>
      <c r="F121" s="17"/>
      <c r="G121" s="17"/>
      <c r="H121" s="17"/>
      <c r="I121" s="17"/>
      <c r="J121" s="42" t="str">
        <f aca="false">IF(SUM(K121:P121)&gt;0, 1, "")</f>
        <v/>
      </c>
      <c r="K121" s="17"/>
      <c r="L121" s="17"/>
      <c r="M121" s="17"/>
      <c r="N121" s="17"/>
      <c r="O121" s="17"/>
      <c r="P121" s="17"/>
      <c r="Q121" s="42" t="str">
        <f aca="false">IF(SUM(R121:W121)&gt;0, 1, "")</f>
        <v/>
      </c>
      <c r="R121" s="17"/>
      <c r="S121" s="17"/>
      <c r="T121" s="17"/>
      <c r="U121" s="17"/>
      <c r="V121" s="17"/>
      <c r="W121" s="17"/>
      <c r="X121" s="42" t="str">
        <f aca="false">IF(SUM(Y121:AD121)&gt;0, 1, "")</f>
        <v/>
      </c>
      <c r="Y121" s="17"/>
      <c r="Z121" s="17"/>
      <c r="AA121" s="17"/>
      <c r="AB121" s="17"/>
      <c r="AC121" s="17"/>
      <c r="AD121" s="17"/>
      <c r="AE121" s="42" t="str">
        <f aca="false">IF(SUM(AF121:AK121)&gt;0, 1, "")</f>
        <v/>
      </c>
      <c r="AF121" s="17"/>
      <c r="AJ121" s="17"/>
      <c r="AK121" s="17"/>
      <c r="AL121" s="42" t="str">
        <f aca="false">IF(SUM(AM121:AR121)&gt;0, 1, "")</f>
        <v/>
      </c>
      <c r="AM121" s="17"/>
      <c r="AN121" s="17"/>
      <c r="AO121" s="17"/>
      <c r="AP121" s="17"/>
      <c r="AQ121" s="17"/>
      <c r="AR121" s="17"/>
      <c r="AS121" s="42" t="str">
        <f aca="false">IF(SUM(AT121:AY121)&gt;0, 1, "")</f>
        <v/>
      </c>
      <c r="AT121" s="17"/>
      <c r="AU121" s="17"/>
      <c r="AV121" s="17"/>
      <c r="AW121" s="17"/>
      <c r="AX121" s="17"/>
      <c r="AZ121" s="42" t="str">
        <f aca="false">IF(SUM(BA121:BF121)&gt;0, 1, "")</f>
        <v/>
      </c>
      <c r="BB121" s="17"/>
      <c r="BC121" s="17"/>
      <c r="BD121" s="17"/>
      <c r="BE121" s="17"/>
      <c r="BF121" s="17"/>
      <c r="BG121" s="42" t="str">
        <f aca="false">IF(SUM(BH121:BM121)&gt;0, 1, "")</f>
        <v/>
      </c>
      <c r="BH121" s="17"/>
      <c r="BI121" s="17"/>
      <c r="BJ121" s="17"/>
      <c r="BK121" s="17"/>
      <c r="BL121" s="17"/>
      <c r="BM121" s="17"/>
    </row>
    <row r="122" customFormat="false" ht="15" hidden="false" customHeight="false" outlineLevel="0" collapsed="false">
      <c r="A122" s="17" t="s">
        <v>308</v>
      </c>
      <c r="B122" s="17" t="s">
        <v>309</v>
      </c>
      <c r="C122" s="42" t="str">
        <f aca="false">IF(SUM(D122:I122)&gt;0, 1, "")</f>
        <v/>
      </c>
      <c r="D122" s="17"/>
      <c r="E122" s="17"/>
      <c r="F122" s="17"/>
      <c r="G122" s="17"/>
      <c r="H122" s="17"/>
      <c r="I122" s="17"/>
      <c r="J122" s="42" t="str">
        <f aca="false">IF(SUM(K122:P122)&gt;0, 1, "")</f>
        <v/>
      </c>
      <c r="K122" s="17"/>
      <c r="L122" s="17"/>
      <c r="M122" s="17"/>
      <c r="N122" s="17"/>
      <c r="O122" s="17"/>
      <c r="P122" s="17"/>
      <c r="Q122" s="42" t="str">
        <f aca="false">IF(SUM(R122:W122)&gt;0, 1, "")</f>
        <v/>
      </c>
      <c r="R122" s="17"/>
      <c r="S122" s="17"/>
      <c r="T122" s="17"/>
      <c r="U122" s="17"/>
      <c r="V122" s="17"/>
      <c r="W122" s="17"/>
      <c r="X122" s="42" t="str">
        <f aca="false">IF(SUM(Y122:AD122)&gt;0, 1, "")</f>
        <v/>
      </c>
      <c r="Y122" s="17"/>
      <c r="Z122" s="17"/>
      <c r="AA122" s="17"/>
      <c r="AB122" s="17"/>
      <c r="AC122" s="17"/>
      <c r="AD122" s="17"/>
      <c r="AE122" s="42" t="str">
        <f aca="false">IF(SUM(AF122:AK122)&gt;0, 1, "")</f>
        <v/>
      </c>
      <c r="AF122" s="17"/>
      <c r="AJ122" s="17"/>
      <c r="AK122" s="17"/>
      <c r="AL122" s="42" t="str">
        <f aca="false">IF(SUM(AM122:AR122)&gt;0, 1, "")</f>
        <v/>
      </c>
      <c r="AM122" s="17"/>
      <c r="AN122" s="17"/>
      <c r="AO122" s="17"/>
      <c r="AP122" s="17"/>
      <c r="AQ122" s="17"/>
      <c r="AR122" s="17"/>
      <c r="AS122" s="42" t="str">
        <f aca="false">IF(SUM(AT122:AY122)&gt;0, 1, "")</f>
        <v/>
      </c>
      <c r="AT122" s="17"/>
      <c r="AU122" s="17"/>
      <c r="AV122" s="17"/>
      <c r="AW122" s="17"/>
      <c r="AX122" s="17"/>
      <c r="AZ122" s="42" t="str">
        <f aca="false">IF(SUM(BA122:BF122)&gt;0, 1, "")</f>
        <v/>
      </c>
      <c r="BB122" s="17"/>
      <c r="BC122" s="17"/>
      <c r="BD122" s="17"/>
      <c r="BE122" s="17"/>
      <c r="BF122" s="17"/>
      <c r="BG122" s="42" t="str">
        <f aca="false">IF(SUM(BH122:BM122)&gt;0, 1, "")</f>
        <v/>
      </c>
      <c r="BH122" s="17"/>
      <c r="BI122" s="17"/>
      <c r="BJ122" s="17"/>
      <c r="BK122" s="17"/>
      <c r="BL122" s="17"/>
      <c r="BM122" s="17"/>
    </row>
    <row r="123" customFormat="false" ht="15" hidden="false" customHeight="false" outlineLevel="0" collapsed="false">
      <c r="A123" s="17" t="s">
        <v>310</v>
      </c>
      <c r="B123" s="17" t="s">
        <v>311</v>
      </c>
      <c r="C123" s="42" t="str">
        <f aca="false">IF(SUM(D123:I123)&gt;0, 1, "")</f>
        <v/>
      </c>
      <c r="D123" s="17"/>
      <c r="E123" s="17"/>
      <c r="F123" s="17"/>
      <c r="G123" s="17"/>
      <c r="H123" s="17"/>
      <c r="I123" s="17"/>
      <c r="J123" s="42" t="str">
        <f aca="false">IF(SUM(K123:P123)&gt;0, 1, "")</f>
        <v/>
      </c>
      <c r="K123" s="17"/>
      <c r="L123" s="17"/>
      <c r="M123" s="17"/>
      <c r="N123" s="17"/>
      <c r="O123" s="17"/>
      <c r="P123" s="17"/>
      <c r="Q123" s="42" t="str">
        <f aca="false">IF(SUM(R123:W123)&gt;0, 1, "")</f>
        <v/>
      </c>
      <c r="R123" s="17"/>
      <c r="S123" s="17"/>
      <c r="T123" s="17"/>
      <c r="U123" s="17"/>
      <c r="V123" s="17"/>
      <c r="W123" s="17"/>
      <c r="X123" s="42" t="str">
        <f aca="false">IF(SUM(Y123:AD123)&gt;0, 1, "")</f>
        <v/>
      </c>
      <c r="Y123" s="17"/>
      <c r="Z123" s="17"/>
      <c r="AA123" s="17"/>
      <c r="AB123" s="17"/>
      <c r="AC123" s="17"/>
      <c r="AD123" s="17"/>
      <c r="AE123" s="42" t="str">
        <f aca="false">IF(SUM(AF123:AK123)&gt;0, 1, "")</f>
        <v/>
      </c>
      <c r="AF123" s="17"/>
      <c r="AJ123" s="17"/>
      <c r="AK123" s="17"/>
      <c r="AL123" s="42" t="str">
        <f aca="false">IF(SUM(AM123:AR123)&gt;0, 1, "")</f>
        <v/>
      </c>
      <c r="AM123" s="17"/>
      <c r="AN123" s="17"/>
      <c r="AO123" s="17"/>
      <c r="AP123" s="17"/>
      <c r="AQ123" s="17"/>
      <c r="AR123" s="17"/>
      <c r="AS123" s="42" t="str">
        <f aca="false">IF(SUM(AT123:AY123)&gt;0, 1, "")</f>
        <v/>
      </c>
      <c r="AT123" s="17"/>
      <c r="AU123" s="17"/>
      <c r="AV123" s="17"/>
      <c r="AW123" s="17"/>
      <c r="AX123" s="17"/>
      <c r="AZ123" s="42" t="str">
        <f aca="false">IF(SUM(BA123:BF123)&gt;0, 1, "")</f>
        <v/>
      </c>
      <c r="BB123" s="17"/>
      <c r="BC123" s="17"/>
      <c r="BD123" s="17"/>
      <c r="BE123" s="17"/>
      <c r="BF123" s="17"/>
      <c r="BG123" s="42" t="str">
        <f aca="false">IF(SUM(BH123:BM123)&gt;0, 1, "")</f>
        <v/>
      </c>
      <c r="BH123" s="17"/>
      <c r="BI123" s="17"/>
      <c r="BJ123" s="17"/>
      <c r="BK123" s="17"/>
      <c r="BL123" s="17"/>
      <c r="BM123" s="17"/>
    </row>
    <row r="124" customFormat="false" ht="15" hidden="false" customHeight="false" outlineLevel="0" collapsed="false">
      <c r="A124" s="17" t="s">
        <v>312</v>
      </c>
      <c r="B124" s="17" t="s">
        <v>313</v>
      </c>
      <c r="C124" s="42" t="str">
        <f aca="false">IF(SUM(D124:I124)&gt;0, 1, "")</f>
        <v/>
      </c>
      <c r="D124" s="17"/>
      <c r="E124" s="17"/>
      <c r="F124" s="17"/>
      <c r="G124" s="17"/>
      <c r="H124" s="17"/>
      <c r="I124" s="17"/>
      <c r="J124" s="42" t="str">
        <f aca="false">IF(SUM(K124:P124)&gt;0, 1, "")</f>
        <v/>
      </c>
      <c r="K124" s="17"/>
      <c r="L124" s="17"/>
      <c r="M124" s="17"/>
      <c r="N124" s="17"/>
      <c r="O124" s="17"/>
      <c r="P124" s="17"/>
      <c r="Q124" s="42" t="str">
        <f aca="false">IF(SUM(R124:W124)&gt;0, 1, "")</f>
        <v/>
      </c>
      <c r="R124" s="17"/>
      <c r="S124" s="17"/>
      <c r="T124" s="17"/>
      <c r="U124" s="17"/>
      <c r="V124" s="17"/>
      <c r="W124" s="17"/>
      <c r="X124" s="42" t="str">
        <f aca="false">IF(SUM(Y124:AD124)&gt;0, 1, "")</f>
        <v/>
      </c>
      <c r="Y124" s="17"/>
      <c r="Z124" s="17"/>
      <c r="AA124" s="17"/>
      <c r="AB124" s="17"/>
      <c r="AC124" s="17"/>
      <c r="AD124" s="17"/>
      <c r="AE124" s="42" t="str">
        <f aca="false">IF(SUM(AF124:AK124)&gt;0, 1, "")</f>
        <v/>
      </c>
      <c r="AF124" s="17"/>
      <c r="AJ124" s="17"/>
      <c r="AK124" s="17"/>
      <c r="AL124" s="42" t="str">
        <f aca="false">IF(SUM(AM124:AR124)&gt;0, 1, "")</f>
        <v/>
      </c>
      <c r="AM124" s="17"/>
      <c r="AN124" s="17"/>
      <c r="AO124" s="17"/>
      <c r="AP124" s="17"/>
      <c r="AQ124" s="17"/>
      <c r="AR124" s="17"/>
      <c r="AS124" s="42" t="str">
        <f aca="false">IF(SUM(AT124:AY124)&gt;0, 1, "")</f>
        <v/>
      </c>
      <c r="AT124" s="17"/>
      <c r="AU124" s="17"/>
      <c r="AV124" s="17"/>
      <c r="AW124" s="17"/>
      <c r="AX124" s="17"/>
      <c r="AZ124" s="42" t="str">
        <f aca="false">IF(SUM(BA124:BF124)&gt;0, 1, "")</f>
        <v/>
      </c>
      <c r="BB124" s="17"/>
      <c r="BC124" s="17"/>
      <c r="BD124" s="17"/>
      <c r="BE124" s="17"/>
      <c r="BF124" s="17"/>
      <c r="BG124" s="42" t="str">
        <f aca="false">IF(SUM(BH124:BM124)&gt;0, 1, "")</f>
        <v/>
      </c>
      <c r="BH124" s="17"/>
      <c r="BI124" s="17"/>
      <c r="BJ124" s="17"/>
      <c r="BK124" s="17"/>
      <c r="BL124" s="17"/>
      <c r="BM124" s="17"/>
    </row>
    <row r="125" customFormat="false" ht="15" hidden="false" customHeight="false" outlineLevel="0" collapsed="false">
      <c r="A125" s="17" t="s">
        <v>314</v>
      </c>
      <c r="B125" s="17" t="s">
        <v>315</v>
      </c>
      <c r="C125" s="42" t="str">
        <f aca="false">IF(SUM(D125:I125)&gt;0, 1, "")</f>
        <v/>
      </c>
      <c r="D125" s="17"/>
      <c r="E125" s="17"/>
      <c r="F125" s="17"/>
      <c r="G125" s="17"/>
      <c r="H125" s="17"/>
      <c r="I125" s="17"/>
      <c r="J125" s="42" t="str">
        <f aca="false">IF(SUM(K125:P125)&gt;0, 1, "")</f>
        <v/>
      </c>
      <c r="K125" s="17"/>
      <c r="L125" s="17"/>
      <c r="M125" s="17"/>
      <c r="N125" s="17"/>
      <c r="O125" s="17"/>
      <c r="P125" s="17"/>
      <c r="Q125" s="42" t="str">
        <f aca="false">IF(SUM(R125:W125)&gt;0, 1, "")</f>
        <v/>
      </c>
      <c r="R125" s="17"/>
      <c r="S125" s="17"/>
      <c r="T125" s="17"/>
      <c r="U125" s="17"/>
      <c r="V125" s="17"/>
      <c r="W125" s="17"/>
      <c r="X125" s="42" t="str">
        <f aca="false">IF(SUM(Y125:AD125)&gt;0, 1, "")</f>
        <v/>
      </c>
      <c r="Y125" s="17"/>
      <c r="Z125" s="17"/>
      <c r="AA125" s="17"/>
      <c r="AB125" s="17"/>
      <c r="AC125" s="17"/>
      <c r="AD125" s="17"/>
      <c r="AE125" s="42" t="str">
        <f aca="false">IF(SUM(AF125:AK125)&gt;0, 1, "")</f>
        <v/>
      </c>
      <c r="AF125" s="17"/>
      <c r="AJ125" s="17"/>
      <c r="AK125" s="17"/>
      <c r="AL125" s="42" t="str">
        <f aca="false">IF(SUM(AM125:AR125)&gt;0, 1, "")</f>
        <v/>
      </c>
      <c r="AM125" s="17"/>
      <c r="AN125" s="17"/>
      <c r="AO125" s="17"/>
      <c r="AP125" s="17"/>
      <c r="AQ125" s="17"/>
      <c r="AR125" s="17"/>
      <c r="AS125" s="42" t="str">
        <f aca="false">IF(SUM(AT125:AY125)&gt;0, 1, "")</f>
        <v/>
      </c>
      <c r="AT125" s="17"/>
      <c r="AU125" s="17"/>
      <c r="AV125" s="17"/>
      <c r="AW125" s="17"/>
      <c r="AX125" s="17"/>
      <c r="AZ125" s="42" t="str">
        <f aca="false">IF(SUM(BA125:BF125)&gt;0, 1, "")</f>
        <v/>
      </c>
      <c r="BB125" s="17"/>
      <c r="BC125" s="17"/>
      <c r="BD125" s="17"/>
      <c r="BE125" s="17"/>
      <c r="BF125" s="17"/>
      <c r="BG125" s="42" t="str">
        <f aca="false">IF(SUM(BH125:BM125)&gt;0, 1, "")</f>
        <v/>
      </c>
      <c r="BH125" s="17"/>
      <c r="BI125" s="17"/>
      <c r="BJ125" s="17"/>
      <c r="BK125" s="17"/>
      <c r="BL125" s="17"/>
      <c r="BM125" s="17"/>
    </row>
    <row r="126" customFormat="false" ht="15" hidden="false" customHeight="false" outlineLevel="0" collapsed="false">
      <c r="A126" s="17" t="s">
        <v>316</v>
      </c>
      <c r="B126" s="17" t="s">
        <v>317</v>
      </c>
      <c r="C126" s="42" t="str">
        <f aca="false">IF(SUM(D126:I126)&gt;0, 1, "")</f>
        <v/>
      </c>
      <c r="D126" s="17"/>
      <c r="E126" s="17"/>
      <c r="F126" s="17"/>
      <c r="G126" s="17"/>
      <c r="H126" s="17"/>
      <c r="I126" s="17"/>
      <c r="J126" s="42" t="str">
        <f aca="false">IF(SUM(K126:P126)&gt;0, 1, "")</f>
        <v/>
      </c>
      <c r="K126" s="17"/>
      <c r="L126" s="17"/>
      <c r="M126" s="17"/>
      <c r="N126" s="17"/>
      <c r="O126" s="17"/>
      <c r="P126" s="17"/>
      <c r="Q126" s="42" t="str">
        <f aca="false">IF(SUM(R126:W126)&gt;0, 1, "")</f>
        <v/>
      </c>
      <c r="R126" s="17"/>
      <c r="S126" s="17"/>
      <c r="T126" s="17"/>
      <c r="U126" s="17"/>
      <c r="V126" s="17"/>
      <c r="W126" s="17"/>
      <c r="X126" s="42" t="str">
        <f aca="false">IF(SUM(Y126:AD126)&gt;0, 1, "")</f>
        <v/>
      </c>
      <c r="Y126" s="17"/>
      <c r="Z126" s="17"/>
      <c r="AA126" s="17"/>
      <c r="AB126" s="17"/>
      <c r="AC126" s="17"/>
      <c r="AD126" s="17"/>
      <c r="AE126" s="42" t="str">
        <f aca="false">IF(SUM(AF126:AK126)&gt;0, 1, "")</f>
        <v/>
      </c>
      <c r="AF126" s="17"/>
      <c r="AJ126" s="17"/>
      <c r="AK126" s="17"/>
      <c r="AL126" s="42" t="str">
        <f aca="false">IF(SUM(AM126:AR126)&gt;0, 1, "")</f>
        <v/>
      </c>
      <c r="AM126" s="17"/>
      <c r="AN126" s="17"/>
      <c r="AO126" s="17"/>
      <c r="AP126" s="17"/>
      <c r="AQ126" s="17"/>
      <c r="AR126" s="17"/>
      <c r="AS126" s="42" t="str">
        <f aca="false">IF(SUM(AT126:AY126)&gt;0, 1, "")</f>
        <v/>
      </c>
      <c r="AT126" s="17"/>
      <c r="AU126" s="17"/>
      <c r="AV126" s="17"/>
      <c r="AW126" s="17"/>
      <c r="AX126" s="17"/>
      <c r="AZ126" s="42" t="str">
        <f aca="false">IF(SUM(BA126:BF126)&gt;0, 1, "")</f>
        <v/>
      </c>
      <c r="BB126" s="17"/>
      <c r="BC126" s="17"/>
      <c r="BD126" s="17"/>
      <c r="BE126" s="17"/>
      <c r="BF126" s="17"/>
      <c r="BG126" s="42" t="str">
        <f aca="false">IF(SUM(BH126:BM126)&gt;0, 1, "")</f>
        <v/>
      </c>
      <c r="BH126" s="17"/>
      <c r="BI126" s="17"/>
      <c r="BJ126" s="17"/>
      <c r="BK126" s="17"/>
      <c r="BL126" s="17"/>
      <c r="BM126" s="17"/>
    </row>
    <row r="127" customFormat="false" ht="15" hidden="false" customHeight="false" outlineLevel="0" collapsed="false">
      <c r="A127" s="17" t="s">
        <v>318</v>
      </c>
      <c r="B127" s="17" t="s">
        <v>319</v>
      </c>
      <c r="C127" s="42" t="str">
        <f aca="false">IF(SUM(D127:I127)&gt;0, 1, "")</f>
        <v/>
      </c>
      <c r="D127" s="17"/>
      <c r="E127" s="17"/>
      <c r="F127" s="17"/>
      <c r="G127" s="17"/>
      <c r="H127" s="17"/>
      <c r="I127" s="17"/>
      <c r="J127" s="42" t="str">
        <f aca="false">IF(SUM(K127:P127)&gt;0, 1, "")</f>
        <v/>
      </c>
      <c r="K127" s="17"/>
      <c r="L127" s="17"/>
      <c r="M127" s="17"/>
      <c r="N127" s="17"/>
      <c r="O127" s="17"/>
      <c r="P127" s="17"/>
      <c r="Q127" s="42" t="str">
        <f aca="false">IF(SUM(R127:W127)&gt;0, 1, "")</f>
        <v/>
      </c>
      <c r="R127" s="17"/>
      <c r="S127" s="17"/>
      <c r="T127" s="17"/>
      <c r="U127" s="17"/>
      <c r="V127" s="17"/>
      <c r="W127" s="17"/>
      <c r="X127" s="42" t="str">
        <f aca="false">IF(SUM(Y127:AD127)&gt;0, 1, "")</f>
        <v/>
      </c>
      <c r="Y127" s="17"/>
      <c r="Z127" s="17"/>
      <c r="AA127" s="17"/>
      <c r="AB127" s="17"/>
      <c r="AC127" s="17"/>
      <c r="AD127" s="17"/>
      <c r="AE127" s="42" t="str">
        <f aca="false">IF(SUM(AF127:AK127)&gt;0, 1, "")</f>
        <v/>
      </c>
      <c r="AF127" s="17"/>
      <c r="AJ127" s="17"/>
      <c r="AK127" s="17"/>
      <c r="AL127" s="42" t="str">
        <f aca="false">IF(SUM(AM127:AR127)&gt;0, 1, "")</f>
        <v/>
      </c>
      <c r="AM127" s="17"/>
      <c r="AN127" s="17"/>
      <c r="AO127" s="17"/>
      <c r="AP127" s="17"/>
      <c r="AQ127" s="17"/>
      <c r="AR127" s="17"/>
      <c r="AS127" s="42" t="str">
        <f aca="false">IF(SUM(AT127:AY127)&gt;0, 1, "")</f>
        <v/>
      </c>
      <c r="AT127" s="17"/>
      <c r="AU127" s="17"/>
      <c r="AV127" s="17"/>
      <c r="AW127" s="17"/>
      <c r="AX127" s="17"/>
      <c r="AZ127" s="42" t="str">
        <f aca="false">IF(SUM(BA127:BF127)&gt;0, 1, "")</f>
        <v/>
      </c>
      <c r="BB127" s="17"/>
      <c r="BC127" s="17"/>
      <c r="BD127" s="17"/>
      <c r="BE127" s="17"/>
      <c r="BF127" s="17"/>
      <c r="BG127" s="42" t="str">
        <f aca="false">IF(SUM(BH127:BM127)&gt;0, 1, "")</f>
        <v/>
      </c>
      <c r="BH127" s="17"/>
      <c r="BI127" s="17"/>
      <c r="BJ127" s="17"/>
      <c r="BK127" s="17"/>
      <c r="BL127" s="17"/>
      <c r="BM127" s="17"/>
    </row>
    <row r="128" customFormat="false" ht="15" hidden="false" customHeight="false" outlineLevel="0" collapsed="false">
      <c r="A128" s="17" t="s">
        <v>320</v>
      </c>
      <c r="B128" s="17" t="s">
        <v>321</v>
      </c>
      <c r="C128" s="42" t="str">
        <f aca="false">IF(SUM(D128:I128)&gt;0, 1, "")</f>
        <v/>
      </c>
      <c r="D128" s="17"/>
      <c r="E128" s="17"/>
      <c r="F128" s="17"/>
      <c r="G128" s="17"/>
      <c r="H128" s="17"/>
      <c r="I128" s="17"/>
      <c r="J128" s="42" t="str">
        <f aca="false">IF(SUM(K128:P128)&gt;0, 1, "")</f>
        <v/>
      </c>
      <c r="K128" s="17"/>
      <c r="L128" s="17"/>
      <c r="M128" s="17"/>
      <c r="N128" s="17"/>
      <c r="O128" s="17"/>
      <c r="P128" s="17"/>
      <c r="Q128" s="42" t="str">
        <f aca="false">IF(SUM(R128:W128)&gt;0, 1, "")</f>
        <v/>
      </c>
      <c r="R128" s="17"/>
      <c r="S128" s="17"/>
      <c r="T128" s="17"/>
      <c r="U128" s="17"/>
      <c r="V128" s="17"/>
      <c r="W128" s="17"/>
      <c r="X128" s="42" t="str">
        <f aca="false">IF(SUM(Y128:AD128)&gt;0, 1, "")</f>
        <v/>
      </c>
      <c r="Y128" s="17"/>
      <c r="Z128" s="17"/>
      <c r="AA128" s="17"/>
      <c r="AB128" s="17"/>
      <c r="AC128" s="17"/>
      <c r="AD128" s="17"/>
      <c r="AE128" s="42" t="str">
        <f aca="false">IF(SUM(AF128:AK128)&gt;0, 1, "")</f>
        <v/>
      </c>
      <c r="AF128" s="17"/>
      <c r="AG128" s="17"/>
      <c r="AH128" s="17"/>
      <c r="AI128" s="17"/>
      <c r="AJ128" s="17"/>
      <c r="AK128" s="17"/>
      <c r="AL128" s="42" t="str">
        <f aca="false">IF(SUM(AM128:AR128)&gt;0, 1, "")</f>
        <v/>
      </c>
      <c r="AM128" s="17"/>
      <c r="AN128" s="17"/>
      <c r="AO128" s="17"/>
      <c r="AP128" s="17"/>
      <c r="AQ128" s="17"/>
      <c r="AR128" s="17"/>
      <c r="AS128" s="42" t="str">
        <f aca="false">IF(SUM(AT128:AY128)&gt;0, 1, "")</f>
        <v/>
      </c>
      <c r="AT128" s="17"/>
      <c r="AU128" s="17"/>
      <c r="AV128" s="17"/>
      <c r="AW128" s="17"/>
      <c r="AX128" s="17"/>
      <c r="AY128" s="17"/>
      <c r="AZ128" s="42" t="str">
        <f aca="false">IF(SUM(BA128:BF128)&gt;0, 1, "")</f>
        <v/>
      </c>
      <c r="BA128" s="17"/>
      <c r="BB128" s="17"/>
      <c r="BC128" s="17"/>
      <c r="BD128" s="17"/>
      <c r="BE128" s="17"/>
      <c r="BF128" s="17"/>
      <c r="BG128" s="42" t="str">
        <f aca="false">IF(SUM(BH128:BM128)&gt;0, 1, "")</f>
        <v/>
      </c>
      <c r="BH128" s="17"/>
      <c r="BI128" s="17"/>
      <c r="BJ128" s="17"/>
      <c r="BK128" s="17"/>
      <c r="BL128" s="17"/>
      <c r="BM128" s="17"/>
    </row>
    <row r="129" customFormat="false" ht="15" hidden="false" customHeight="false" outlineLevel="0" collapsed="false">
      <c r="A129" s="17" t="s">
        <v>322</v>
      </c>
      <c r="B129" s="17" t="s">
        <v>323</v>
      </c>
      <c r="C129" s="42" t="str">
        <f aca="false">IF(SUM(D129:I129)&gt;0, 1, "")</f>
        <v/>
      </c>
      <c r="D129" s="17"/>
      <c r="E129" s="17"/>
      <c r="F129" s="17"/>
      <c r="G129" s="17"/>
      <c r="H129" s="17"/>
      <c r="I129" s="17"/>
      <c r="J129" s="42" t="str">
        <f aca="false">IF(SUM(K129:P129)&gt;0, 1, "")</f>
        <v/>
      </c>
      <c r="K129" s="17"/>
      <c r="L129" s="17"/>
      <c r="M129" s="17"/>
      <c r="N129" s="17"/>
      <c r="O129" s="17"/>
      <c r="P129" s="17"/>
      <c r="Q129" s="42" t="str">
        <f aca="false">IF(SUM(R129:W129)&gt;0, 1, "")</f>
        <v/>
      </c>
      <c r="R129" s="17"/>
      <c r="S129" s="17"/>
      <c r="T129" s="17"/>
      <c r="U129" s="17"/>
      <c r="V129" s="17"/>
      <c r="W129" s="17"/>
      <c r="X129" s="42" t="str">
        <f aca="false">IF(SUM(Y129:AD129)&gt;0, 1, "")</f>
        <v/>
      </c>
      <c r="Y129" s="17"/>
      <c r="Z129" s="17"/>
      <c r="AA129" s="17"/>
      <c r="AB129" s="17"/>
      <c r="AC129" s="17"/>
      <c r="AD129" s="17"/>
      <c r="AE129" s="42" t="str">
        <f aca="false">IF(SUM(AF129:AK129)&gt;0, 1, "")</f>
        <v/>
      </c>
      <c r="AF129" s="17"/>
      <c r="AG129" s="17"/>
      <c r="AH129" s="17"/>
      <c r="AI129" s="17"/>
      <c r="AJ129" s="17"/>
      <c r="AK129" s="17"/>
      <c r="AL129" s="42" t="str">
        <f aca="false">IF(SUM(AM129:AR129)&gt;0, 1, "")</f>
        <v/>
      </c>
      <c r="AM129" s="17"/>
      <c r="AN129" s="17"/>
      <c r="AO129" s="17"/>
      <c r="AP129" s="17"/>
      <c r="AQ129" s="17"/>
      <c r="AR129" s="17"/>
      <c r="AS129" s="42" t="str">
        <f aca="false">IF(SUM(AT129:AY129)&gt;0, 1, "")</f>
        <v/>
      </c>
      <c r="AT129" s="17"/>
      <c r="AU129" s="17"/>
      <c r="AV129" s="17"/>
      <c r="AW129" s="17"/>
      <c r="AX129" s="17"/>
      <c r="AY129" s="17"/>
      <c r="AZ129" s="42" t="str">
        <f aca="false">IF(SUM(BA129:BF129)&gt;0, 1, "")</f>
        <v/>
      </c>
      <c r="BA129" s="17"/>
      <c r="BB129" s="17"/>
      <c r="BC129" s="17"/>
      <c r="BD129" s="17"/>
      <c r="BE129" s="17"/>
      <c r="BF129" s="17"/>
      <c r="BG129" s="42" t="str">
        <f aca="false">IF(SUM(BH129:BM129)&gt;0, 1, "")</f>
        <v/>
      </c>
      <c r="BH129" s="17"/>
      <c r="BI129" s="17"/>
      <c r="BJ129" s="17"/>
      <c r="BK129" s="17"/>
      <c r="BL129" s="17"/>
      <c r="BM129" s="17"/>
    </row>
    <row r="130" customFormat="false" ht="15" hidden="false" customHeight="false" outlineLevel="0" collapsed="false">
      <c r="A130" s="17" t="s">
        <v>324</v>
      </c>
      <c r="B130" s="17" t="s">
        <v>325</v>
      </c>
      <c r="C130" s="42" t="str">
        <f aca="false">IF(SUM(D130:I130)&gt;0, 1, "")</f>
        <v/>
      </c>
      <c r="D130" s="17"/>
      <c r="E130" s="17"/>
      <c r="F130" s="17"/>
      <c r="G130" s="17"/>
      <c r="H130" s="17"/>
      <c r="I130" s="17"/>
      <c r="J130" s="42" t="str">
        <f aca="false">IF(SUM(K130:P130)&gt;0, 1, "")</f>
        <v/>
      </c>
      <c r="K130" s="17"/>
      <c r="L130" s="17"/>
      <c r="M130" s="17"/>
      <c r="N130" s="17"/>
      <c r="O130" s="17"/>
      <c r="P130" s="17"/>
      <c r="Q130" s="42" t="str">
        <f aca="false">IF(SUM(R130:W130)&gt;0, 1, "")</f>
        <v/>
      </c>
      <c r="R130" s="17"/>
      <c r="S130" s="17"/>
      <c r="T130" s="17"/>
      <c r="U130" s="17"/>
      <c r="V130" s="17"/>
      <c r="W130" s="17"/>
      <c r="X130" s="42" t="str">
        <f aca="false">IF(SUM(Y130:AD130)&gt;0, 1, "")</f>
        <v/>
      </c>
      <c r="Y130" s="17"/>
      <c r="Z130" s="17"/>
      <c r="AA130" s="17"/>
      <c r="AB130" s="17"/>
      <c r="AC130" s="17"/>
      <c r="AD130" s="17"/>
      <c r="AE130" s="42" t="str">
        <f aca="false">IF(SUM(AF130:AK130)&gt;0, 1, "")</f>
        <v/>
      </c>
      <c r="AF130" s="17"/>
      <c r="AG130" s="17"/>
      <c r="AH130" s="17"/>
      <c r="AI130" s="17"/>
      <c r="AJ130" s="17"/>
      <c r="AK130" s="17"/>
      <c r="AL130" s="42" t="str">
        <f aca="false">IF(SUM(AM130:AR130)&gt;0, 1, "")</f>
        <v/>
      </c>
      <c r="AM130" s="17"/>
      <c r="AN130" s="17"/>
      <c r="AO130" s="17"/>
      <c r="AP130" s="17"/>
      <c r="AQ130" s="17"/>
      <c r="AR130" s="17"/>
      <c r="AS130" s="42" t="str">
        <f aca="false">IF(SUM(AT130:AY130)&gt;0, 1, "")</f>
        <v/>
      </c>
      <c r="AT130" s="17"/>
      <c r="AU130" s="17"/>
      <c r="AV130" s="17"/>
      <c r="AW130" s="17"/>
      <c r="AX130" s="17"/>
      <c r="AY130" s="17"/>
      <c r="AZ130" s="42" t="str">
        <f aca="false">IF(SUM(BA130:BF130)&gt;0, 1, "")</f>
        <v/>
      </c>
      <c r="BA130" s="17"/>
      <c r="BB130" s="17"/>
      <c r="BC130" s="17"/>
      <c r="BD130" s="17"/>
      <c r="BE130" s="17"/>
      <c r="BF130" s="17"/>
      <c r="BG130" s="42" t="str">
        <f aca="false">IF(SUM(BH130:BM130)&gt;0, 1, "")</f>
        <v/>
      </c>
      <c r="BH130" s="17"/>
      <c r="BI130" s="17"/>
      <c r="BJ130" s="17"/>
      <c r="BK130" s="17"/>
      <c r="BL130" s="17"/>
      <c r="BM130" s="17"/>
    </row>
    <row r="131" customFormat="false" ht="15" hidden="false" customHeight="false" outlineLevel="0" collapsed="false">
      <c r="A131" s="17" t="s">
        <v>326</v>
      </c>
      <c r="B131" s="17" t="s">
        <v>327</v>
      </c>
      <c r="C131" s="42" t="str">
        <f aca="false">IF(SUM(D131:I131)&gt;0, 1, "")</f>
        <v/>
      </c>
      <c r="D131" s="17"/>
      <c r="E131" s="17"/>
      <c r="F131" s="17"/>
      <c r="G131" s="17"/>
      <c r="H131" s="17"/>
      <c r="I131" s="17"/>
      <c r="J131" s="42" t="str">
        <f aca="false">IF(SUM(K131:P131)&gt;0, 1, "")</f>
        <v/>
      </c>
      <c r="K131" s="17"/>
      <c r="L131" s="17"/>
      <c r="M131" s="17"/>
      <c r="N131" s="17"/>
      <c r="O131" s="17"/>
      <c r="P131" s="17"/>
      <c r="Q131" s="42" t="str">
        <f aca="false">IF(SUM(R131:W131)&gt;0, 1, "")</f>
        <v/>
      </c>
      <c r="R131" s="17"/>
      <c r="S131" s="17"/>
      <c r="T131" s="17"/>
      <c r="U131" s="17"/>
      <c r="V131" s="17"/>
      <c r="W131" s="17"/>
      <c r="X131" s="42" t="str">
        <f aca="false">IF(SUM(Y131:AD131)&gt;0, 1, "")</f>
        <v/>
      </c>
      <c r="Y131" s="17"/>
      <c r="Z131" s="17"/>
      <c r="AA131" s="17"/>
      <c r="AB131" s="17"/>
      <c r="AC131" s="17"/>
      <c r="AD131" s="17"/>
      <c r="AE131" s="42" t="str">
        <f aca="false">IF(SUM(AF131:AK131)&gt;0, 1, "")</f>
        <v/>
      </c>
      <c r="AF131" s="17"/>
      <c r="AG131" s="17"/>
      <c r="AH131" s="17"/>
      <c r="AI131" s="17"/>
      <c r="AJ131" s="17"/>
      <c r="AK131" s="17"/>
      <c r="AL131" s="42" t="str">
        <f aca="false">IF(SUM(AM131:AR131)&gt;0, 1, "")</f>
        <v/>
      </c>
      <c r="AM131" s="17"/>
      <c r="AN131" s="17"/>
      <c r="AO131" s="17"/>
      <c r="AP131" s="17"/>
      <c r="AQ131" s="17"/>
      <c r="AR131" s="17"/>
      <c r="AS131" s="42" t="str">
        <f aca="false">IF(SUM(AT131:AY131)&gt;0, 1, "")</f>
        <v/>
      </c>
      <c r="AT131" s="17"/>
      <c r="AU131" s="17"/>
      <c r="AV131" s="17"/>
      <c r="AW131" s="17"/>
      <c r="AX131" s="17"/>
      <c r="AY131" s="17"/>
      <c r="AZ131" s="42" t="str">
        <f aca="false">IF(SUM(BA131:BF131)&gt;0, 1, "")</f>
        <v/>
      </c>
      <c r="BA131" s="17"/>
      <c r="BB131" s="17"/>
      <c r="BC131" s="17"/>
      <c r="BD131" s="17"/>
      <c r="BE131" s="17"/>
      <c r="BF131" s="17"/>
      <c r="BG131" s="42" t="str">
        <f aca="false">IF(SUM(BH131:BM131)&gt;0, 1, "")</f>
        <v/>
      </c>
      <c r="BH131" s="17"/>
      <c r="BI131" s="17"/>
      <c r="BJ131" s="17"/>
      <c r="BK131" s="17"/>
      <c r="BL131" s="17"/>
      <c r="BM131" s="17"/>
    </row>
    <row r="132" customFormat="false" ht="15" hidden="false" customHeight="false" outlineLevel="0" collapsed="false">
      <c r="A132" s="17" t="s">
        <v>328</v>
      </c>
      <c r="B132" s="17" t="s">
        <v>329</v>
      </c>
      <c r="C132" s="42" t="str">
        <f aca="false">IF(SUM(D132:I132)&gt;0, 1, "")</f>
        <v/>
      </c>
      <c r="D132" s="17"/>
      <c r="E132" s="17"/>
      <c r="F132" s="17"/>
      <c r="G132" s="17"/>
      <c r="H132" s="17"/>
      <c r="I132" s="17"/>
      <c r="J132" s="42" t="str">
        <f aca="false">IF(SUM(K132:P132)&gt;0, 1, "")</f>
        <v/>
      </c>
      <c r="K132" s="17"/>
      <c r="L132" s="17"/>
      <c r="M132" s="17"/>
      <c r="N132" s="17"/>
      <c r="O132" s="17"/>
      <c r="P132" s="17"/>
      <c r="Q132" s="42" t="str">
        <f aca="false">IF(SUM(R132:W132)&gt;0, 1, "")</f>
        <v/>
      </c>
      <c r="R132" s="17"/>
      <c r="S132" s="17"/>
      <c r="T132" s="17"/>
      <c r="U132" s="17"/>
      <c r="V132" s="17"/>
      <c r="W132" s="17"/>
      <c r="X132" s="42" t="str">
        <f aca="false">IF(SUM(Y132:AD132)&gt;0, 1, "")</f>
        <v/>
      </c>
      <c r="Y132" s="17"/>
      <c r="Z132" s="17"/>
      <c r="AA132" s="17"/>
      <c r="AB132" s="17"/>
      <c r="AC132" s="17"/>
      <c r="AD132" s="17"/>
      <c r="AE132" s="42" t="str">
        <f aca="false">IF(SUM(AF132:AK132)&gt;0, 1, "")</f>
        <v/>
      </c>
      <c r="AF132" s="17"/>
      <c r="AG132" s="17"/>
      <c r="AH132" s="17"/>
      <c r="AI132" s="17"/>
      <c r="AJ132" s="17"/>
      <c r="AK132" s="17"/>
      <c r="AL132" s="42" t="str">
        <f aca="false">IF(SUM(AM132:AR132)&gt;0, 1, "")</f>
        <v/>
      </c>
      <c r="AM132" s="17"/>
      <c r="AN132" s="17"/>
      <c r="AO132" s="17"/>
      <c r="AP132" s="17"/>
      <c r="AQ132" s="17"/>
      <c r="AR132" s="17"/>
      <c r="AS132" s="42" t="str">
        <f aca="false">IF(SUM(AT132:AY132)&gt;0, 1, "")</f>
        <v/>
      </c>
      <c r="AT132" s="17"/>
      <c r="AU132" s="17"/>
      <c r="AV132" s="17"/>
      <c r="AW132" s="17"/>
      <c r="AX132" s="17"/>
      <c r="AY132" s="17"/>
      <c r="AZ132" s="42" t="str">
        <f aca="false">IF(SUM(BA132:BF132)&gt;0, 1, "")</f>
        <v/>
      </c>
      <c r="BA132" s="17"/>
      <c r="BB132" s="17"/>
      <c r="BC132" s="17"/>
      <c r="BD132" s="17"/>
      <c r="BE132" s="17"/>
      <c r="BF132" s="17"/>
      <c r="BG132" s="42" t="str">
        <f aca="false">IF(SUM(BH132:BM132)&gt;0, 1, "")</f>
        <v/>
      </c>
      <c r="BH132" s="17"/>
      <c r="BI132" s="17"/>
      <c r="BJ132" s="17"/>
      <c r="BK132" s="17"/>
      <c r="BL132" s="17"/>
      <c r="BM132" s="17"/>
    </row>
    <row r="133" customFormat="false" ht="15" hidden="false" customHeight="false" outlineLevel="0" collapsed="false">
      <c r="A133" s="17" t="s">
        <v>330</v>
      </c>
      <c r="B133" s="17" t="s">
        <v>331</v>
      </c>
      <c r="C133" s="42" t="str">
        <f aca="false">IF(SUM(D133:I133)&gt;0, 1, "")</f>
        <v/>
      </c>
      <c r="D133" s="17"/>
      <c r="E133" s="17"/>
      <c r="F133" s="17"/>
      <c r="G133" s="17"/>
      <c r="H133" s="17"/>
      <c r="I133" s="17"/>
      <c r="J133" s="42" t="str">
        <f aca="false">IF(SUM(K133:P133)&gt;0, 1, "")</f>
        <v/>
      </c>
      <c r="K133" s="17"/>
      <c r="L133" s="17"/>
      <c r="M133" s="17"/>
      <c r="N133" s="17"/>
      <c r="O133" s="17"/>
      <c r="P133" s="17"/>
      <c r="Q133" s="42" t="str">
        <f aca="false">IF(SUM(R133:W133)&gt;0, 1, "")</f>
        <v/>
      </c>
      <c r="R133" s="17"/>
      <c r="S133" s="17"/>
      <c r="T133" s="17"/>
      <c r="U133" s="17"/>
      <c r="V133" s="17"/>
      <c r="W133" s="17"/>
      <c r="X133" s="42" t="str">
        <f aca="false">IF(SUM(Y133:AD133)&gt;0, 1, "")</f>
        <v/>
      </c>
      <c r="Y133" s="17"/>
      <c r="Z133" s="17"/>
      <c r="AA133" s="17"/>
      <c r="AB133" s="17"/>
      <c r="AC133" s="17"/>
      <c r="AD133" s="17"/>
      <c r="AE133" s="42" t="str">
        <f aca="false">IF(SUM(AF133:AK133)&gt;0, 1, "")</f>
        <v/>
      </c>
      <c r="AF133" s="17"/>
      <c r="AJ133" s="17"/>
      <c r="AK133" s="17"/>
      <c r="AL133" s="42" t="str">
        <f aca="false">IF(SUM(AM133:AR133)&gt;0, 1, "")</f>
        <v/>
      </c>
      <c r="AM133" s="17"/>
      <c r="AN133" s="17"/>
      <c r="AO133" s="17"/>
      <c r="AP133" s="17"/>
      <c r="AQ133" s="17"/>
      <c r="AR133" s="17"/>
      <c r="AS133" s="42" t="str">
        <f aca="false">IF(SUM(AT133:AY133)&gt;0, 1, "")</f>
        <v/>
      </c>
      <c r="AT133" s="17"/>
      <c r="AU133" s="17"/>
      <c r="AV133" s="17"/>
      <c r="AW133" s="17"/>
      <c r="AX133" s="17"/>
      <c r="AZ133" s="42" t="str">
        <f aca="false">IF(SUM(BA133:BF133)&gt;0, 1, "")</f>
        <v/>
      </c>
      <c r="BB133" s="17"/>
      <c r="BC133" s="17"/>
      <c r="BD133" s="17"/>
      <c r="BE133" s="17"/>
      <c r="BF133" s="17"/>
      <c r="BG133" s="42" t="str">
        <f aca="false">IF(SUM(BH133:BM133)&gt;0, 1, "")</f>
        <v/>
      </c>
      <c r="BH133" s="17"/>
      <c r="BI133" s="17"/>
      <c r="BJ133" s="17"/>
      <c r="BK133" s="17"/>
      <c r="BL133" s="17"/>
      <c r="BM133" s="17"/>
    </row>
    <row r="134" customFormat="false" ht="15" hidden="false" customHeight="false" outlineLevel="0" collapsed="false">
      <c r="A134" s="17" t="s">
        <v>332</v>
      </c>
      <c r="B134" s="17" t="s">
        <v>333</v>
      </c>
      <c r="C134" s="42" t="str">
        <f aca="false">IF(SUM(D134:I134)&gt;0, 1, "")</f>
        <v/>
      </c>
      <c r="D134" s="17"/>
      <c r="E134" s="17"/>
      <c r="F134" s="17"/>
      <c r="G134" s="17"/>
      <c r="H134" s="17"/>
      <c r="I134" s="17"/>
      <c r="J134" s="42" t="str">
        <f aca="false">IF(SUM(K134:P134)&gt;0, 1, "")</f>
        <v/>
      </c>
      <c r="K134" s="17"/>
      <c r="L134" s="17"/>
      <c r="M134" s="17"/>
      <c r="N134" s="17"/>
      <c r="O134" s="17"/>
      <c r="P134" s="17"/>
      <c r="Q134" s="42" t="str">
        <f aca="false">IF(SUM(R134:W134)&gt;0, 1, "")</f>
        <v/>
      </c>
      <c r="R134" s="17"/>
      <c r="S134" s="17"/>
      <c r="T134" s="17"/>
      <c r="U134" s="17"/>
      <c r="V134" s="17"/>
      <c r="W134" s="17"/>
      <c r="X134" s="42" t="str">
        <f aca="false">IF(SUM(Y134:AD134)&gt;0, 1, "")</f>
        <v/>
      </c>
      <c r="Y134" s="17"/>
      <c r="Z134" s="17"/>
      <c r="AA134" s="17"/>
      <c r="AB134" s="17"/>
      <c r="AC134" s="17"/>
      <c r="AD134" s="17"/>
      <c r="AE134" s="42" t="str">
        <f aca="false">IF(SUM(AF134:AK134)&gt;0, 1, "")</f>
        <v/>
      </c>
      <c r="AF134" s="17"/>
      <c r="AJ134" s="17"/>
      <c r="AK134" s="17"/>
      <c r="AL134" s="42" t="str">
        <f aca="false">IF(SUM(AM134:AR134)&gt;0, 1, "")</f>
        <v/>
      </c>
      <c r="AM134" s="17"/>
      <c r="AN134" s="17"/>
      <c r="AO134" s="17"/>
      <c r="AP134" s="17"/>
      <c r="AQ134" s="17"/>
      <c r="AR134" s="17"/>
      <c r="AS134" s="42" t="str">
        <f aca="false">IF(SUM(AT134:AY134)&gt;0, 1, "")</f>
        <v/>
      </c>
      <c r="AT134" s="17"/>
      <c r="AU134" s="17"/>
      <c r="AV134" s="17"/>
      <c r="AW134" s="17"/>
      <c r="AX134" s="17"/>
      <c r="AZ134" s="42" t="str">
        <f aca="false">IF(SUM(BA134:BF134)&gt;0, 1, "")</f>
        <v/>
      </c>
      <c r="BB134" s="17"/>
      <c r="BC134" s="17"/>
      <c r="BD134" s="17"/>
      <c r="BE134" s="17"/>
      <c r="BF134" s="17"/>
      <c r="BG134" s="42" t="str">
        <f aca="false">IF(SUM(BH134:BM134)&gt;0, 1, "")</f>
        <v/>
      </c>
      <c r="BH134" s="17"/>
      <c r="BI134" s="17"/>
      <c r="BJ134" s="17"/>
      <c r="BK134" s="17"/>
      <c r="BL134" s="17"/>
      <c r="BM134" s="17"/>
    </row>
    <row r="135" customFormat="false" ht="15" hidden="false" customHeight="false" outlineLevel="0" collapsed="false">
      <c r="A135" s="17" t="s">
        <v>334</v>
      </c>
      <c r="B135" s="17" t="s">
        <v>335</v>
      </c>
      <c r="C135" s="42" t="str">
        <f aca="false">IF(SUM(D135:I135)&gt;0, 1, "")</f>
        <v/>
      </c>
      <c r="D135" s="17"/>
      <c r="E135" s="17"/>
      <c r="F135" s="17"/>
      <c r="G135" s="17"/>
      <c r="H135" s="17"/>
      <c r="I135" s="17"/>
      <c r="J135" s="42" t="str">
        <f aca="false">IF(SUM(K135:P135)&gt;0, 1, "")</f>
        <v/>
      </c>
      <c r="K135" s="17"/>
      <c r="L135" s="17"/>
      <c r="M135" s="17"/>
      <c r="N135" s="17"/>
      <c r="O135" s="17"/>
      <c r="P135" s="17"/>
      <c r="Q135" s="42" t="str">
        <f aca="false">IF(SUM(R135:W135)&gt;0, 1, "")</f>
        <v/>
      </c>
      <c r="R135" s="17"/>
      <c r="S135" s="17"/>
      <c r="T135" s="17"/>
      <c r="U135" s="17"/>
      <c r="V135" s="17"/>
      <c r="W135" s="17"/>
      <c r="X135" s="42" t="str">
        <f aca="false">IF(SUM(Y135:AD135)&gt;0, 1, "")</f>
        <v/>
      </c>
      <c r="Y135" s="17"/>
      <c r="Z135" s="17"/>
      <c r="AA135" s="17"/>
      <c r="AB135" s="17"/>
      <c r="AC135" s="17"/>
      <c r="AD135" s="17"/>
      <c r="AE135" s="42" t="str">
        <f aca="false">IF(SUM(AF135:AK135)&gt;0, 1, "")</f>
        <v/>
      </c>
      <c r="AF135" s="17"/>
      <c r="AJ135" s="17"/>
      <c r="AK135" s="17"/>
      <c r="AL135" s="42" t="str">
        <f aca="false">IF(SUM(AM135:AR135)&gt;0, 1, "")</f>
        <v/>
      </c>
      <c r="AM135" s="17"/>
      <c r="AN135" s="17"/>
      <c r="AO135" s="17"/>
      <c r="AP135" s="17"/>
      <c r="AQ135" s="17"/>
      <c r="AR135" s="17"/>
      <c r="AS135" s="42" t="str">
        <f aca="false">IF(SUM(AT135:AY135)&gt;0, 1, "")</f>
        <v/>
      </c>
      <c r="AT135" s="17"/>
      <c r="AU135" s="17"/>
      <c r="AV135" s="17"/>
      <c r="AW135" s="17"/>
      <c r="AX135" s="17"/>
      <c r="AZ135" s="42" t="str">
        <f aca="false">IF(SUM(BA135:BF135)&gt;0, 1, "")</f>
        <v/>
      </c>
      <c r="BB135" s="17"/>
      <c r="BC135" s="17"/>
      <c r="BD135" s="17"/>
      <c r="BE135" s="17"/>
      <c r="BF135" s="17"/>
      <c r="BG135" s="42" t="str">
        <f aca="false">IF(SUM(BH135:BM135)&gt;0, 1, "")</f>
        <v/>
      </c>
      <c r="BH135" s="17"/>
      <c r="BI135" s="17"/>
      <c r="BJ135" s="17"/>
      <c r="BK135" s="17"/>
      <c r="BL135" s="17"/>
      <c r="BM135" s="17"/>
    </row>
    <row r="136" customFormat="false" ht="15" hidden="false" customHeight="false" outlineLevel="0" collapsed="false">
      <c r="A136" s="17" t="s">
        <v>336</v>
      </c>
      <c r="B136" s="17" t="s">
        <v>337</v>
      </c>
      <c r="C136" s="42" t="str">
        <f aca="false">IF(SUM(D136:I136)&gt;0, 1, "")</f>
        <v/>
      </c>
      <c r="D136" s="17"/>
      <c r="E136" s="17"/>
      <c r="F136" s="17"/>
      <c r="G136" s="17"/>
      <c r="H136" s="17"/>
      <c r="I136" s="17"/>
      <c r="J136" s="42" t="str">
        <f aca="false">IF(SUM(K136:P136)&gt;0, 1, "")</f>
        <v/>
      </c>
      <c r="K136" s="17"/>
      <c r="L136" s="17"/>
      <c r="M136" s="17"/>
      <c r="N136" s="17"/>
      <c r="O136" s="17"/>
      <c r="P136" s="17"/>
      <c r="Q136" s="42" t="str">
        <f aca="false">IF(SUM(R136:W136)&gt;0, 1, "")</f>
        <v/>
      </c>
      <c r="R136" s="17"/>
      <c r="S136" s="17"/>
      <c r="T136" s="17"/>
      <c r="U136" s="17"/>
      <c r="V136" s="17"/>
      <c r="W136" s="17"/>
      <c r="X136" s="42" t="str">
        <f aca="false">IF(SUM(Y136:AD136)&gt;0, 1, "")</f>
        <v/>
      </c>
      <c r="Y136" s="17"/>
      <c r="Z136" s="17"/>
      <c r="AA136" s="17"/>
      <c r="AB136" s="17"/>
      <c r="AC136" s="17"/>
      <c r="AD136" s="17"/>
      <c r="AE136" s="42" t="str">
        <f aca="false">IF(SUM(AF136:AK136)&gt;0, 1, "")</f>
        <v/>
      </c>
      <c r="AF136" s="17"/>
      <c r="AJ136" s="17"/>
      <c r="AK136" s="17"/>
      <c r="AL136" s="42" t="str">
        <f aca="false">IF(SUM(AM136:AR136)&gt;0, 1, "")</f>
        <v/>
      </c>
      <c r="AM136" s="17"/>
      <c r="AN136" s="17"/>
      <c r="AO136" s="17"/>
      <c r="AP136" s="17"/>
      <c r="AQ136" s="17"/>
      <c r="AR136" s="17"/>
      <c r="AS136" s="42" t="str">
        <f aca="false">IF(SUM(AT136:AY136)&gt;0, 1, "")</f>
        <v/>
      </c>
      <c r="AT136" s="17"/>
      <c r="AU136" s="17"/>
      <c r="AV136" s="17"/>
      <c r="AW136" s="17"/>
      <c r="AX136" s="17"/>
      <c r="AZ136" s="42" t="str">
        <f aca="false">IF(SUM(BA136:BF136)&gt;0, 1, "")</f>
        <v/>
      </c>
      <c r="BB136" s="17"/>
      <c r="BC136" s="17"/>
      <c r="BD136" s="17"/>
      <c r="BE136" s="17"/>
      <c r="BF136" s="17"/>
      <c r="BG136" s="42" t="str">
        <f aca="false">IF(SUM(BH136:BM136)&gt;0, 1, "")</f>
        <v/>
      </c>
      <c r="BH136" s="17"/>
      <c r="BI136" s="17"/>
      <c r="BJ136" s="17"/>
      <c r="BK136" s="17"/>
      <c r="BL136" s="17"/>
      <c r="BM136" s="17"/>
    </row>
    <row r="137" customFormat="false" ht="15" hidden="false" customHeight="false" outlineLevel="0" collapsed="false">
      <c r="A137" s="17" t="s">
        <v>338</v>
      </c>
      <c r="B137" s="17" t="s">
        <v>339</v>
      </c>
      <c r="C137" s="42" t="str">
        <f aca="false">IF(SUM(D137:I137)&gt;0, 1, "")</f>
        <v/>
      </c>
      <c r="D137" s="17"/>
      <c r="E137" s="17"/>
      <c r="F137" s="17"/>
      <c r="G137" s="17"/>
      <c r="H137" s="17"/>
      <c r="I137" s="17"/>
      <c r="J137" s="42" t="str">
        <f aca="false">IF(SUM(K137:P137)&gt;0, 1, "")</f>
        <v/>
      </c>
      <c r="K137" s="17"/>
      <c r="L137" s="17"/>
      <c r="M137" s="17"/>
      <c r="N137" s="17"/>
      <c r="O137" s="17"/>
      <c r="P137" s="17"/>
      <c r="Q137" s="42" t="str">
        <f aca="false">IF(SUM(R137:W137)&gt;0, 1, "")</f>
        <v/>
      </c>
      <c r="R137" s="17"/>
      <c r="S137" s="17"/>
      <c r="T137" s="17"/>
      <c r="U137" s="17"/>
      <c r="V137" s="17"/>
      <c r="W137" s="17"/>
      <c r="X137" s="42" t="str">
        <f aca="false">IF(SUM(Y137:AD137)&gt;0, 1, "")</f>
        <v/>
      </c>
      <c r="Y137" s="17"/>
      <c r="Z137" s="17"/>
      <c r="AA137" s="17"/>
      <c r="AB137" s="17"/>
      <c r="AC137" s="17"/>
      <c r="AD137" s="17"/>
      <c r="AE137" s="42" t="str">
        <f aca="false">IF(SUM(AF137:AK137)&gt;0, 1, "")</f>
        <v/>
      </c>
      <c r="AF137" s="17"/>
      <c r="AJ137" s="17"/>
      <c r="AK137" s="17"/>
      <c r="AL137" s="42" t="str">
        <f aca="false">IF(SUM(AM137:AR137)&gt;0, 1, "")</f>
        <v/>
      </c>
      <c r="AM137" s="17"/>
      <c r="AN137" s="17"/>
      <c r="AO137" s="17"/>
      <c r="AP137" s="17"/>
      <c r="AQ137" s="17"/>
      <c r="AR137" s="17"/>
      <c r="AS137" s="42" t="str">
        <f aca="false">IF(SUM(AT137:AY137)&gt;0, 1, "")</f>
        <v/>
      </c>
      <c r="AT137" s="17"/>
      <c r="AU137" s="17"/>
      <c r="AV137" s="17"/>
      <c r="AW137" s="17"/>
      <c r="AX137" s="17"/>
      <c r="AZ137" s="42" t="str">
        <f aca="false">IF(SUM(BA137:BF137)&gt;0, 1, "")</f>
        <v/>
      </c>
      <c r="BB137" s="17"/>
      <c r="BC137" s="17"/>
      <c r="BD137" s="17"/>
      <c r="BE137" s="17"/>
      <c r="BF137" s="17"/>
      <c r="BG137" s="42" t="str">
        <f aca="false">IF(SUM(BH137:BM137)&gt;0, 1, "")</f>
        <v/>
      </c>
      <c r="BH137" s="17"/>
      <c r="BI137" s="17"/>
      <c r="BJ137" s="17"/>
      <c r="BK137" s="17"/>
      <c r="BL137" s="17"/>
      <c r="BM137" s="17"/>
    </row>
    <row r="138" customFormat="false" ht="15" hidden="false" customHeight="false" outlineLevel="0" collapsed="false">
      <c r="A138" s="17" t="s">
        <v>340</v>
      </c>
      <c r="B138" s="17" t="s">
        <v>341</v>
      </c>
      <c r="C138" s="42" t="str">
        <f aca="false">IF(SUM(D138:I138)&gt;0, 1, "")</f>
        <v/>
      </c>
      <c r="D138" s="17"/>
      <c r="E138" s="17"/>
      <c r="F138" s="17"/>
      <c r="G138" s="17"/>
      <c r="H138" s="17"/>
      <c r="I138" s="17"/>
      <c r="J138" s="42" t="str">
        <f aca="false">IF(SUM(K138:P138)&gt;0, 1, "")</f>
        <v/>
      </c>
      <c r="K138" s="17"/>
      <c r="L138" s="17"/>
      <c r="M138" s="17"/>
      <c r="N138" s="17"/>
      <c r="O138" s="17"/>
      <c r="P138" s="17"/>
      <c r="Q138" s="42" t="str">
        <f aca="false">IF(SUM(R138:W138)&gt;0, 1, "")</f>
        <v/>
      </c>
      <c r="R138" s="17"/>
      <c r="S138" s="17"/>
      <c r="T138" s="17"/>
      <c r="U138" s="17"/>
      <c r="V138" s="17"/>
      <c r="W138" s="17"/>
      <c r="X138" s="42" t="str">
        <f aca="false">IF(SUM(Y138:AD138)&gt;0, 1, "")</f>
        <v/>
      </c>
      <c r="Y138" s="17"/>
      <c r="Z138" s="17"/>
      <c r="AA138" s="17"/>
      <c r="AB138" s="17"/>
      <c r="AC138" s="17"/>
      <c r="AD138" s="17"/>
      <c r="AE138" s="42" t="str">
        <f aca="false">IF(SUM(AF138:AK138)&gt;0, 1, "")</f>
        <v/>
      </c>
      <c r="AF138" s="17"/>
      <c r="AJ138" s="17"/>
      <c r="AK138" s="17"/>
      <c r="AL138" s="42" t="str">
        <f aca="false">IF(SUM(AM138:AR138)&gt;0, 1, "")</f>
        <v/>
      </c>
      <c r="AM138" s="17"/>
      <c r="AN138" s="17"/>
      <c r="AO138" s="17"/>
      <c r="AP138" s="17"/>
      <c r="AQ138" s="17"/>
      <c r="AR138" s="17"/>
      <c r="AS138" s="42" t="str">
        <f aca="false">IF(SUM(AT138:AY138)&gt;0, 1, "")</f>
        <v/>
      </c>
      <c r="AT138" s="17"/>
      <c r="AU138" s="17"/>
      <c r="AV138" s="17"/>
      <c r="AW138" s="17"/>
      <c r="AX138" s="17"/>
      <c r="AZ138" s="42" t="str">
        <f aca="false">IF(SUM(BA138:BF138)&gt;0, 1, "")</f>
        <v/>
      </c>
      <c r="BB138" s="17"/>
      <c r="BC138" s="17"/>
      <c r="BD138" s="17"/>
      <c r="BE138" s="17"/>
      <c r="BF138" s="17"/>
      <c r="BG138" s="42" t="str">
        <f aca="false">IF(SUM(BH138:BM138)&gt;0, 1, "")</f>
        <v/>
      </c>
      <c r="BH138" s="17"/>
      <c r="BI138" s="17"/>
      <c r="BJ138" s="17"/>
      <c r="BK138" s="17"/>
      <c r="BL138" s="17"/>
      <c r="BM138" s="17"/>
    </row>
    <row r="139" customFormat="false" ht="15" hidden="false" customHeight="false" outlineLevel="0" collapsed="false">
      <c r="A139" s="17" t="s">
        <v>342</v>
      </c>
      <c r="B139" s="17" t="s">
        <v>343</v>
      </c>
      <c r="C139" s="42" t="str">
        <f aca="false">IF(SUM(D139:I139)&gt;0, 1, "")</f>
        <v/>
      </c>
      <c r="D139" s="17"/>
      <c r="E139" s="17"/>
      <c r="F139" s="17"/>
      <c r="G139" s="17"/>
      <c r="H139" s="17"/>
      <c r="I139" s="17"/>
      <c r="J139" s="42" t="str">
        <f aca="false">IF(SUM(K139:P139)&gt;0, 1, "")</f>
        <v/>
      </c>
      <c r="K139" s="17"/>
      <c r="L139" s="17"/>
      <c r="M139" s="17"/>
      <c r="N139" s="17"/>
      <c r="O139" s="17"/>
      <c r="P139" s="17"/>
      <c r="Q139" s="42" t="str">
        <f aca="false">IF(SUM(R139:W139)&gt;0, 1, "")</f>
        <v/>
      </c>
      <c r="R139" s="17"/>
      <c r="S139" s="17"/>
      <c r="T139" s="17"/>
      <c r="U139" s="17"/>
      <c r="V139" s="17"/>
      <c r="W139" s="17"/>
      <c r="X139" s="42" t="str">
        <f aca="false">IF(SUM(Y139:AD139)&gt;0, 1, "")</f>
        <v/>
      </c>
      <c r="Y139" s="17"/>
      <c r="Z139" s="17"/>
      <c r="AA139" s="17"/>
      <c r="AB139" s="17"/>
      <c r="AC139" s="17"/>
      <c r="AD139" s="17"/>
      <c r="AE139" s="42" t="str">
        <f aca="false">IF(SUM(AF139:AK139)&gt;0, 1, "")</f>
        <v/>
      </c>
      <c r="AF139" s="17"/>
      <c r="AJ139" s="17"/>
      <c r="AK139" s="17"/>
      <c r="AL139" s="42" t="str">
        <f aca="false">IF(SUM(AM139:AR139)&gt;0, 1, "")</f>
        <v/>
      </c>
      <c r="AM139" s="17"/>
      <c r="AN139" s="17"/>
      <c r="AO139" s="17"/>
      <c r="AP139" s="17"/>
      <c r="AQ139" s="17"/>
      <c r="AR139" s="17"/>
      <c r="AS139" s="42" t="str">
        <f aca="false">IF(SUM(AT139:AY139)&gt;0, 1, "")</f>
        <v/>
      </c>
      <c r="AT139" s="17"/>
      <c r="AU139" s="17"/>
      <c r="AV139" s="17"/>
      <c r="AW139" s="17"/>
      <c r="AX139" s="17"/>
      <c r="AZ139" s="42" t="str">
        <f aca="false">IF(SUM(BA139:BF139)&gt;0, 1, "")</f>
        <v/>
      </c>
      <c r="BB139" s="17"/>
      <c r="BC139" s="17"/>
      <c r="BD139" s="17"/>
      <c r="BE139" s="17"/>
      <c r="BF139" s="17"/>
      <c r="BG139" s="42" t="str">
        <f aca="false">IF(SUM(BH139:BM139)&gt;0, 1, "")</f>
        <v/>
      </c>
      <c r="BH139" s="17"/>
      <c r="BI139" s="17"/>
      <c r="BJ139" s="17"/>
      <c r="BK139" s="17"/>
      <c r="BL139" s="17"/>
      <c r="BM139" s="17"/>
    </row>
    <row r="140" customFormat="false" ht="15" hidden="false" customHeight="false" outlineLevel="0" collapsed="false">
      <c r="A140" s="17" t="s">
        <v>344</v>
      </c>
      <c r="B140" s="17" t="s">
        <v>345</v>
      </c>
      <c r="C140" s="42" t="str">
        <f aca="false">IF(SUM(D140:I140)&gt;0, 1, "")</f>
        <v/>
      </c>
      <c r="D140" s="17"/>
      <c r="E140" s="17"/>
      <c r="F140" s="17"/>
      <c r="G140" s="17"/>
      <c r="H140" s="17"/>
      <c r="I140" s="17"/>
      <c r="J140" s="42" t="str">
        <f aca="false">IF(SUM(K140:P140)&gt;0, 1, "")</f>
        <v/>
      </c>
      <c r="K140" s="17"/>
      <c r="L140" s="17"/>
      <c r="M140" s="17"/>
      <c r="N140" s="17"/>
      <c r="O140" s="17"/>
      <c r="P140" s="17"/>
      <c r="Q140" s="42" t="str">
        <f aca="false">IF(SUM(R140:W140)&gt;0, 1, "")</f>
        <v/>
      </c>
      <c r="R140" s="17"/>
      <c r="S140" s="17"/>
      <c r="T140" s="17"/>
      <c r="U140" s="17"/>
      <c r="V140" s="17"/>
      <c r="W140" s="17"/>
      <c r="X140" s="42" t="str">
        <f aca="false">IF(SUM(Y140:AD140)&gt;0, 1, "")</f>
        <v/>
      </c>
      <c r="Y140" s="17"/>
      <c r="Z140" s="17"/>
      <c r="AA140" s="17"/>
      <c r="AB140" s="17"/>
      <c r="AC140" s="17"/>
      <c r="AD140" s="17"/>
      <c r="AE140" s="42" t="str">
        <f aca="false">IF(SUM(AF140:AK140)&gt;0, 1, "")</f>
        <v/>
      </c>
      <c r="AF140" s="17"/>
      <c r="AG140" s="17"/>
      <c r="AH140" s="17"/>
      <c r="AI140" s="17"/>
      <c r="AJ140" s="17"/>
      <c r="AK140" s="17"/>
      <c r="AL140" s="42" t="str">
        <f aca="false">IF(SUM(AM140:AR140)&gt;0, 1, "")</f>
        <v/>
      </c>
      <c r="AM140" s="17"/>
      <c r="AN140" s="17"/>
      <c r="AO140" s="17"/>
      <c r="AP140" s="17"/>
      <c r="AQ140" s="17"/>
      <c r="AR140" s="17"/>
      <c r="AS140" s="42" t="str">
        <f aca="false">IF(SUM(AT140:AY140)&gt;0, 1, "")</f>
        <v/>
      </c>
      <c r="AT140" s="17"/>
      <c r="AU140" s="17"/>
      <c r="AV140" s="17"/>
      <c r="AW140" s="17"/>
      <c r="AX140" s="17"/>
      <c r="AY140" s="17"/>
      <c r="AZ140" s="42" t="str">
        <f aca="false">IF(SUM(BA140:BF140)&gt;0, 1, "")</f>
        <v/>
      </c>
      <c r="BA140" s="17"/>
      <c r="BB140" s="17"/>
      <c r="BC140" s="17"/>
      <c r="BD140" s="17"/>
      <c r="BE140" s="17"/>
      <c r="BF140" s="17"/>
      <c r="BG140" s="42" t="str">
        <f aca="false">IF(SUM(BH140:BM140)&gt;0, 1, "")</f>
        <v/>
      </c>
      <c r="BH140" s="17"/>
      <c r="BI140" s="17"/>
      <c r="BJ140" s="17"/>
      <c r="BK140" s="17"/>
      <c r="BL140" s="17"/>
      <c r="BM140" s="17"/>
    </row>
    <row r="141" customFormat="false" ht="15" hidden="false" customHeight="false" outlineLevel="0" collapsed="false">
      <c r="A141" s="17" t="s">
        <v>346</v>
      </c>
      <c r="B141" s="17" t="s">
        <v>347</v>
      </c>
      <c r="C141" s="42" t="str">
        <f aca="false">IF(SUM(D141:I141)&gt;0, 1, "")</f>
        <v/>
      </c>
      <c r="D141" s="17"/>
      <c r="E141" s="17"/>
      <c r="F141" s="17"/>
      <c r="G141" s="17"/>
      <c r="H141" s="17"/>
      <c r="I141" s="17"/>
      <c r="J141" s="42" t="str">
        <f aca="false">IF(SUM(K141:P141)&gt;0, 1, "")</f>
        <v/>
      </c>
      <c r="K141" s="17"/>
      <c r="L141" s="17"/>
      <c r="M141" s="17"/>
      <c r="N141" s="17"/>
      <c r="O141" s="17"/>
      <c r="P141" s="17"/>
      <c r="Q141" s="42" t="str">
        <f aca="false">IF(SUM(R141:W141)&gt;0, 1, "")</f>
        <v/>
      </c>
      <c r="R141" s="17"/>
      <c r="S141" s="17"/>
      <c r="T141" s="17"/>
      <c r="U141" s="17"/>
      <c r="V141" s="17"/>
      <c r="W141" s="17"/>
      <c r="X141" s="42" t="str">
        <f aca="false">IF(SUM(Y141:AD141)&gt;0, 1, "")</f>
        <v/>
      </c>
      <c r="Y141" s="17"/>
      <c r="Z141" s="17"/>
      <c r="AA141" s="17"/>
      <c r="AB141" s="17"/>
      <c r="AC141" s="17"/>
      <c r="AD141" s="17"/>
      <c r="AE141" s="42" t="str">
        <f aca="false">IF(SUM(AF141:AK141)&gt;0, 1, "")</f>
        <v/>
      </c>
      <c r="AF141" s="17"/>
      <c r="AJ141" s="17"/>
      <c r="AK141" s="17"/>
      <c r="AL141" s="42" t="str">
        <f aca="false">IF(SUM(AM141:AR141)&gt;0, 1, "")</f>
        <v/>
      </c>
      <c r="AM141" s="17"/>
      <c r="AN141" s="17"/>
      <c r="AO141" s="17"/>
      <c r="AP141" s="17"/>
      <c r="AQ141" s="17"/>
      <c r="AR141" s="17"/>
      <c r="AS141" s="42" t="str">
        <f aca="false">IF(SUM(AT141:AY141)&gt;0, 1, "")</f>
        <v/>
      </c>
      <c r="AT141" s="17"/>
      <c r="AU141" s="17"/>
      <c r="AV141" s="17"/>
      <c r="AW141" s="17"/>
      <c r="AX141" s="17"/>
      <c r="AZ141" s="42" t="str">
        <f aca="false">IF(SUM(BA141:BF141)&gt;0, 1, "")</f>
        <v/>
      </c>
      <c r="BB141" s="17"/>
      <c r="BC141" s="17"/>
      <c r="BD141" s="17"/>
      <c r="BE141" s="17"/>
      <c r="BF141" s="17"/>
      <c r="BG141" s="42" t="str">
        <f aca="false">IF(SUM(BH141:BM141)&gt;0, 1, "")</f>
        <v/>
      </c>
      <c r="BH141" s="17"/>
      <c r="BI141" s="17"/>
      <c r="BJ141" s="17"/>
      <c r="BK141" s="17"/>
      <c r="BL141" s="17"/>
      <c r="BM141" s="17"/>
    </row>
    <row r="142" customFormat="false" ht="15" hidden="false" customHeight="false" outlineLevel="0" collapsed="false">
      <c r="A142" s="17" t="s">
        <v>348</v>
      </c>
      <c r="B142" s="17" t="s">
        <v>349</v>
      </c>
      <c r="C142" s="42" t="str">
        <f aca="false">IF(SUM(D142:I142)&gt;0, 1, "")</f>
        <v/>
      </c>
      <c r="D142" s="17"/>
      <c r="E142" s="17"/>
      <c r="F142" s="17"/>
      <c r="G142" s="17"/>
      <c r="H142" s="17"/>
      <c r="I142" s="17"/>
      <c r="J142" s="42" t="str">
        <f aca="false">IF(SUM(K142:P142)&gt;0, 1, "")</f>
        <v/>
      </c>
      <c r="K142" s="17"/>
      <c r="L142" s="17"/>
      <c r="M142" s="17"/>
      <c r="N142" s="17"/>
      <c r="O142" s="17"/>
      <c r="P142" s="17"/>
      <c r="Q142" s="42" t="str">
        <f aca="false">IF(SUM(R142:W142)&gt;0, 1, "")</f>
        <v/>
      </c>
      <c r="R142" s="17"/>
      <c r="S142" s="17"/>
      <c r="T142" s="17"/>
      <c r="U142" s="17"/>
      <c r="V142" s="17"/>
      <c r="W142" s="17"/>
      <c r="X142" s="42" t="str">
        <f aca="false">IF(SUM(Y142:AD142)&gt;0, 1, "")</f>
        <v/>
      </c>
      <c r="Y142" s="17"/>
      <c r="Z142" s="17"/>
      <c r="AA142" s="17"/>
      <c r="AB142" s="17"/>
      <c r="AC142" s="17"/>
      <c r="AD142" s="17"/>
      <c r="AE142" s="42" t="str">
        <f aca="false">IF(SUM(AF142:AK142)&gt;0, 1, "")</f>
        <v/>
      </c>
      <c r="AF142" s="17"/>
      <c r="AG142" s="17"/>
      <c r="AH142" s="17"/>
      <c r="AI142" s="17"/>
      <c r="AJ142" s="17"/>
      <c r="AK142" s="17"/>
      <c r="AL142" s="42" t="str">
        <f aca="false">IF(SUM(AM142:AR142)&gt;0, 1, "")</f>
        <v/>
      </c>
      <c r="AM142" s="17"/>
      <c r="AN142" s="17"/>
      <c r="AO142" s="17"/>
      <c r="AP142" s="17"/>
      <c r="AQ142" s="17"/>
      <c r="AR142" s="17"/>
      <c r="AS142" s="42" t="str">
        <f aca="false">IF(SUM(AT142:AY142)&gt;0, 1, "")</f>
        <v/>
      </c>
      <c r="AT142" s="17"/>
      <c r="AU142" s="17"/>
      <c r="AV142" s="17"/>
      <c r="AW142" s="17"/>
      <c r="AX142" s="17"/>
      <c r="AY142" s="17"/>
      <c r="AZ142" s="42" t="str">
        <f aca="false">IF(SUM(BA142:BF142)&gt;0, 1, "")</f>
        <v/>
      </c>
      <c r="BA142" s="17"/>
      <c r="BB142" s="17"/>
      <c r="BC142" s="17"/>
      <c r="BD142" s="17"/>
      <c r="BE142" s="17"/>
      <c r="BF142" s="17"/>
      <c r="BG142" s="42" t="str">
        <f aca="false">IF(SUM(BH142:BM142)&gt;0, 1, "")</f>
        <v/>
      </c>
      <c r="BH142" s="17"/>
      <c r="BI142" s="17"/>
      <c r="BJ142" s="17"/>
      <c r="BK142" s="17"/>
      <c r="BL142" s="17"/>
      <c r="BM142" s="17"/>
    </row>
    <row r="143" customFormat="false" ht="15" hidden="false" customHeight="false" outlineLevel="0" collapsed="false">
      <c r="A143" s="17" t="s">
        <v>350</v>
      </c>
      <c r="B143" s="17" t="s">
        <v>351</v>
      </c>
      <c r="C143" s="42" t="str">
        <f aca="false">IF(SUM(D143:I143)&gt;0, 1, "")</f>
        <v/>
      </c>
      <c r="D143" s="17"/>
      <c r="E143" s="17"/>
      <c r="F143" s="17"/>
      <c r="G143" s="17"/>
      <c r="H143" s="17"/>
      <c r="I143" s="17"/>
      <c r="J143" s="42" t="str">
        <f aca="false">IF(SUM(K143:P143)&gt;0, 1, "")</f>
        <v/>
      </c>
      <c r="K143" s="17"/>
      <c r="L143" s="17"/>
      <c r="M143" s="17"/>
      <c r="N143" s="17"/>
      <c r="O143" s="17"/>
      <c r="P143" s="17"/>
      <c r="Q143" s="42" t="str">
        <f aca="false">IF(SUM(R143:W143)&gt;0, 1, "")</f>
        <v/>
      </c>
      <c r="R143" s="17"/>
      <c r="S143" s="17"/>
      <c r="T143" s="17"/>
      <c r="U143" s="17"/>
      <c r="V143" s="17"/>
      <c r="W143" s="17"/>
      <c r="X143" s="42" t="str">
        <f aca="false">IF(SUM(Y143:AD143)&gt;0, 1, "")</f>
        <v/>
      </c>
      <c r="Y143" s="17"/>
      <c r="Z143" s="17"/>
      <c r="AA143" s="17"/>
      <c r="AB143" s="17"/>
      <c r="AC143" s="17"/>
      <c r="AD143" s="17"/>
      <c r="AE143" s="42" t="str">
        <f aca="false">IF(SUM(AF143:AK143)&gt;0, 1, "")</f>
        <v/>
      </c>
      <c r="AF143" s="17"/>
      <c r="AG143" s="17"/>
      <c r="AH143" s="17"/>
      <c r="AI143" s="17"/>
      <c r="AJ143" s="17"/>
      <c r="AK143" s="17"/>
      <c r="AL143" s="42" t="str">
        <f aca="false">IF(SUM(AM143:AR143)&gt;0, 1, "")</f>
        <v/>
      </c>
      <c r="AM143" s="17"/>
      <c r="AN143" s="17"/>
      <c r="AO143" s="17"/>
      <c r="AP143" s="17"/>
      <c r="AQ143" s="17"/>
      <c r="AR143" s="17"/>
      <c r="AS143" s="42" t="str">
        <f aca="false">IF(SUM(AT143:AY143)&gt;0, 1, "")</f>
        <v/>
      </c>
      <c r="AT143" s="17"/>
      <c r="AU143" s="17"/>
      <c r="AV143" s="17"/>
      <c r="AW143" s="17"/>
      <c r="AX143" s="17"/>
      <c r="AY143" s="17"/>
      <c r="AZ143" s="42" t="str">
        <f aca="false">IF(SUM(BA143:BF143)&gt;0, 1, "")</f>
        <v/>
      </c>
      <c r="BA143" s="17"/>
      <c r="BB143" s="17"/>
      <c r="BC143" s="17"/>
      <c r="BD143" s="17"/>
      <c r="BE143" s="17"/>
      <c r="BF143" s="17"/>
      <c r="BG143" s="42" t="str">
        <f aca="false">IF(SUM(BH143:BM143)&gt;0, 1, "")</f>
        <v/>
      </c>
      <c r="BH143" s="17"/>
      <c r="BI143" s="17"/>
      <c r="BJ143" s="17"/>
      <c r="BK143" s="17"/>
      <c r="BL143" s="17"/>
      <c r="BM143" s="17"/>
    </row>
    <row r="144" customFormat="false" ht="15" hidden="false" customHeight="false" outlineLevel="0" collapsed="false">
      <c r="A144" s="17" t="s">
        <v>352</v>
      </c>
      <c r="B144" s="17" t="s">
        <v>353</v>
      </c>
      <c r="C144" s="42" t="str">
        <f aca="false">IF(SUM(D144:I144)&gt;0, 1, "")</f>
        <v/>
      </c>
      <c r="D144" s="17"/>
      <c r="E144" s="17"/>
      <c r="F144" s="17"/>
      <c r="G144" s="17"/>
      <c r="H144" s="17"/>
      <c r="I144" s="17"/>
      <c r="J144" s="42" t="str">
        <f aca="false">IF(SUM(K144:P144)&gt;0, 1, "")</f>
        <v/>
      </c>
      <c r="K144" s="17"/>
      <c r="L144" s="17"/>
      <c r="M144" s="17"/>
      <c r="N144" s="17"/>
      <c r="O144" s="17"/>
      <c r="P144" s="17"/>
      <c r="Q144" s="42" t="str">
        <f aca="false">IF(SUM(R144:W144)&gt;0, 1, "")</f>
        <v/>
      </c>
      <c r="R144" s="17"/>
      <c r="S144" s="17"/>
      <c r="T144" s="17"/>
      <c r="U144" s="17"/>
      <c r="V144" s="17"/>
      <c r="W144" s="17"/>
      <c r="X144" s="42" t="str">
        <f aca="false">IF(SUM(Y144:AD144)&gt;0, 1, "")</f>
        <v/>
      </c>
      <c r="Y144" s="17"/>
      <c r="Z144" s="17"/>
      <c r="AA144" s="17"/>
      <c r="AB144" s="17"/>
      <c r="AC144" s="17"/>
      <c r="AD144" s="17"/>
      <c r="AE144" s="42" t="str">
        <f aca="false">IF(SUM(AF144:AK144)&gt;0, 1, "")</f>
        <v/>
      </c>
      <c r="AF144" s="17"/>
      <c r="AG144" s="17"/>
      <c r="AH144" s="17"/>
      <c r="AI144" s="17"/>
      <c r="AJ144" s="17"/>
      <c r="AK144" s="17"/>
      <c r="AL144" s="42" t="str">
        <f aca="false">IF(SUM(AM144:AR144)&gt;0, 1, "")</f>
        <v/>
      </c>
      <c r="AM144" s="17"/>
      <c r="AN144" s="17"/>
      <c r="AO144" s="17"/>
      <c r="AP144" s="17"/>
      <c r="AQ144" s="17"/>
      <c r="AR144" s="17"/>
      <c r="AS144" s="42" t="str">
        <f aca="false">IF(SUM(AT144:AY144)&gt;0, 1, "")</f>
        <v/>
      </c>
      <c r="AT144" s="17"/>
      <c r="AU144" s="17"/>
      <c r="AV144" s="17"/>
      <c r="AW144" s="17"/>
      <c r="AX144" s="17"/>
      <c r="AY144" s="17"/>
      <c r="AZ144" s="42" t="str">
        <f aca="false">IF(SUM(BA144:BF144)&gt;0, 1, "")</f>
        <v/>
      </c>
      <c r="BA144" s="17"/>
      <c r="BB144" s="17"/>
      <c r="BC144" s="17"/>
      <c r="BD144" s="17"/>
      <c r="BE144" s="17"/>
      <c r="BF144" s="17"/>
      <c r="BG144" s="42" t="str">
        <f aca="false">IF(SUM(BH144:BM144)&gt;0, 1, "")</f>
        <v/>
      </c>
      <c r="BH144" s="17"/>
      <c r="BI144" s="17"/>
      <c r="BJ144" s="17"/>
      <c r="BK144" s="17"/>
      <c r="BL144" s="17"/>
      <c r="BM144" s="17"/>
    </row>
    <row r="145" customFormat="false" ht="15" hidden="false" customHeight="false" outlineLevel="0" collapsed="false">
      <c r="A145" s="17" t="s">
        <v>354</v>
      </c>
      <c r="B145" s="17" t="s">
        <v>355</v>
      </c>
      <c r="C145" s="42" t="n">
        <f aca="false">IF(SUM(D145:I145)&gt;0, 1, "")</f>
        <v>1</v>
      </c>
      <c r="D145" s="17"/>
      <c r="E145" s="17" t="n">
        <v>1</v>
      </c>
      <c r="F145" s="17" t="n">
        <v>1</v>
      </c>
      <c r="G145" s="17" t="n">
        <v>1</v>
      </c>
      <c r="H145" s="17" t="n">
        <v>1</v>
      </c>
      <c r="I145" s="17"/>
      <c r="J145" s="42" t="n">
        <f aca="false">IF(SUM(K145:P145)&gt;0, 1, "")</f>
        <v>1</v>
      </c>
      <c r="K145" s="17"/>
      <c r="L145" s="17" t="n">
        <v>1</v>
      </c>
      <c r="M145" s="17" t="n">
        <v>1</v>
      </c>
      <c r="N145" s="17" t="n">
        <v>1</v>
      </c>
      <c r="O145" s="17" t="n">
        <v>1</v>
      </c>
      <c r="P145" s="17"/>
      <c r="Q145" s="42" t="n">
        <f aca="false">IF(SUM(R145:W145)&gt;0, 1, "")</f>
        <v>1</v>
      </c>
      <c r="R145" s="17"/>
      <c r="S145" s="17" t="n">
        <v>1</v>
      </c>
      <c r="T145" s="17" t="n">
        <v>1</v>
      </c>
      <c r="U145" s="17" t="n">
        <v>1</v>
      </c>
      <c r="V145" s="17" t="n">
        <v>1</v>
      </c>
      <c r="W145" s="17"/>
      <c r="X145" s="42" t="n">
        <f aca="false">IF(SUM(Y145:AD145)&gt;0, 1, "")</f>
        <v>1</v>
      </c>
      <c r="Y145" s="17"/>
      <c r="Z145" s="17" t="n">
        <v>1</v>
      </c>
      <c r="AA145" s="17" t="n">
        <v>1</v>
      </c>
      <c r="AB145" s="17" t="n">
        <v>1</v>
      </c>
      <c r="AC145" s="17" t="n">
        <v>1</v>
      </c>
      <c r="AD145" s="17"/>
      <c r="AE145" s="42" t="n">
        <f aca="false">IF(SUM(AF145:AK145)&gt;0, 1, "")</f>
        <v>1</v>
      </c>
      <c r="AF145" s="17"/>
      <c r="AG145" s="17" t="n">
        <v>1</v>
      </c>
      <c r="AH145" s="17" t="n">
        <v>1</v>
      </c>
      <c r="AI145" s="17" t="n">
        <v>1</v>
      </c>
      <c r="AJ145" s="17" t="n">
        <v>1</v>
      </c>
      <c r="AK145" s="17"/>
      <c r="AL145" s="42" t="n">
        <f aca="false">IF(SUM(AM145:AR145)&gt;0, 1, "")</f>
        <v>1</v>
      </c>
      <c r="AM145" s="17"/>
      <c r="AN145" s="17" t="n">
        <v>1</v>
      </c>
      <c r="AO145" s="17" t="n">
        <v>1</v>
      </c>
      <c r="AP145" s="17" t="n">
        <v>1</v>
      </c>
      <c r="AQ145" s="17" t="n">
        <v>1</v>
      </c>
      <c r="AR145" s="17"/>
      <c r="AS145" s="42" t="n">
        <f aca="false">IF(SUM(AT145:AY145)&gt;0, 1, "")</f>
        <v>1</v>
      </c>
      <c r="AT145" s="17"/>
      <c r="AU145" s="17" t="n">
        <v>1</v>
      </c>
      <c r="AV145" s="17" t="n">
        <v>1</v>
      </c>
      <c r="AW145" s="17" t="n">
        <v>1</v>
      </c>
      <c r="AX145" s="17" t="n">
        <v>1</v>
      </c>
      <c r="AY145" s="17"/>
      <c r="AZ145" s="42" t="n">
        <f aca="false">IF(SUM(BA145:BF145)&gt;0, 1, "")</f>
        <v>1</v>
      </c>
      <c r="BA145" s="17"/>
      <c r="BB145" s="17" t="n">
        <v>1</v>
      </c>
      <c r="BC145" s="17" t="n">
        <v>1</v>
      </c>
      <c r="BD145" s="17" t="n">
        <v>1</v>
      </c>
      <c r="BE145" s="17" t="n">
        <v>1</v>
      </c>
      <c r="BF145" s="17"/>
      <c r="BG145" s="42" t="n">
        <f aca="false">IF(SUM(BH145:BM145)&gt;0, 1, "")</f>
        <v>1</v>
      </c>
      <c r="BH145" s="17"/>
      <c r="BI145" s="17" t="n">
        <v>1</v>
      </c>
      <c r="BJ145" s="17" t="n">
        <v>1</v>
      </c>
      <c r="BK145" s="17" t="n">
        <v>1</v>
      </c>
      <c r="BL145" s="17" t="n">
        <v>1</v>
      </c>
      <c r="BM145" s="17"/>
    </row>
    <row r="146" customFormat="false" ht="15" hidden="false" customHeight="false" outlineLevel="0" collapsed="false">
      <c r="A146" s="17" t="s">
        <v>356</v>
      </c>
      <c r="B146" s="17" t="s">
        <v>357</v>
      </c>
      <c r="C146" s="42" t="str">
        <f aca="false">IF(SUM(D146:I146)&gt;0, 1, "")</f>
        <v/>
      </c>
      <c r="D146" s="17"/>
      <c r="E146" s="17"/>
      <c r="F146" s="17"/>
      <c r="G146" s="17"/>
      <c r="H146" s="17"/>
      <c r="I146" s="17"/>
      <c r="J146" s="42" t="str">
        <f aca="false">IF(SUM(K146:P146)&gt;0, 1, "")</f>
        <v/>
      </c>
      <c r="K146" s="17"/>
      <c r="L146" s="17"/>
      <c r="M146" s="17"/>
      <c r="N146" s="17"/>
      <c r="O146" s="17"/>
      <c r="P146" s="17"/>
      <c r="Q146" s="42" t="str">
        <f aca="false">IF(SUM(R146:W146)&gt;0, 1, "")</f>
        <v/>
      </c>
      <c r="R146" s="17"/>
      <c r="S146" s="17"/>
      <c r="T146" s="17"/>
      <c r="U146" s="17"/>
      <c r="V146" s="17"/>
      <c r="W146" s="17"/>
      <c r="X146" s="42" t="str">
        <f aca="false">IF(SUM(Y146:AD146)&gt;0, 1, "")</f>
        <v/>
      </c>
      <c r="Y146" s="17"/>
      <c r="Z146" s="17"/>
      <c r="AA146" s="17"/>
      <c r="AB146" s="17"/>
      <c r="AC146" s="17"/>
      <c r="AD146" s="17"/>
      <c r="AE146" s="42" t="str">
        <f aca="false">IF(SUM(AF146:AK146)&gt;0, 1, "")</f>
        <v/>
      </c>
      <c r="AF146" s="17"/>
      <c r="AG146" s="17"/>
      <c r="AH146" s="17"/>
      <c r="AI146" s="17"/>
      <c r="AJ146" s="17"/>
      <c r="AK146" s="17"/>
      <c r="AL146" s="42" t="str">
        <f aca="false">IF(SUM(AM146:AR146)&gt;0, 1, "")</f>
        <v/>
      </c>
      <c r="AM146" s="17"/>
      <c r="AN146" s="17"/>
      <c r="AO146" s="17"/>
      <c r="AP146" s="17"/>
      <c r="AQ146" s="17"/>
      <c r="AR146" s="17"/>
      <c r="AS146" s="42" t="str">
        <f aca="false">IF(SUM(AT146:AY146)&gt;0, 1, "")</f>
        <v/>
      </c>
      <c r="AT146" s="17"/>
      <c r="AU146" s="17"/>
      <c r="AV146" s="17"/>
      <c r="AW146" s="17"/>
      <c r="AX146" s="17"/>
      <c r="AY146" s="17"/>
      <c r="AZ146" s="42" t="str">
        <f aca="false">IF(SUM(BA146:BF146)&gt;0, 1, "")</f>
        <v/>
      </c>
      <c r="BA146" s="17"/>
      <c r="BB146" s="17"/>
      <c r="BC146" s="17"/>
      <c r="BD146" s="17"/>
      <c r="BE146" s="17"/>
      <c r="BF146" s="17"/>
      <c r="BG146" s="42" t="str">
        <f aca="false">IF(SUM(BH146:BM146)&gt;0, 1, "")</f>
        <v/>
      </c>
      <c r="BH146" s="17"/>
      <c r="BI146" s="17"/>
      <c r="BJ146" s="17"/>
      <c r="BK146" s="17"/>
      <c r="BL146" s="17"/>
      <c r="BM146" s="17"/>
    </row>
    <row r="147" customFormat="false" ht="15" hidden="false" customHeight="false" outlineLevel="0" collapsed="false">
      <c r="A147" s="17" t="s">
        <v>358</v>
      </c>
      <c r="B147" s="17" t="s">
        <v>359</v>
      </c>
      <c r="C147" s="42" t="str">
        <f aca="false">IF(SUM(D147:I147)&gt;0, 1, "")</f>
        <v/>
      </c>
      <c r="D147" s="17"/>
      <c r="E147" s="17"/>
      <c r="F147" s="17"/>
      <c r="G147" s="17"/>
      <c r="H147" s="17"/>
      <c r="I147" s="17"/>
      <c r="J147" s="42" t="str">
        <f aca="false">IF(SUM(K147:P147)&gt;0, 1, "")</f>
        <v/>
      </c>
      <c r="K147" s="17"/>
      <c r="L147" s="17"/>
      <c r="M147" s="17"/>
      <c r="N147" s="17"/>
      <c r="O147" s="17"/>
      <c r="P147" s="17"/>
      <c r="Q147" s="42" t="str">
        <f aca="false">IF(SUM(R147:W147)&gt;0, 1, "")</f>
        <v/>
      </c>
      <c r="R147" s="17"/>
      <c r="S147" s="17"/>
      <c r="T147" s="17"/>
      <c r="U147" s="17"/>
      <c r="V147" s="17"/>
      <c r="W147" s="17"/>
      <c r="X147" s="42" t="str">
        <f aca="false">IF(SUM(Y147:AD147)&gt;0, 1, "")</f>
        <v/>
      </c>
      <c r="Y147" s="17"/>
      <c r="Z147" s="17"/>
      <c r="AA147" s="17"/>
      <c r="AB147" s="17"/>
      <c r="AC147" s="17"/>
      <c r="AD147" s="17"/>
      <c r="AE147" s="42" t="str">
        <f aca="false">IF(SUM(AF147:AK147)&gt;0, 1, "")</f>
        <v/>
      </c>
      <c r="AF147" s="17"/>
      <c r="AJ147" s="17"/>
      <c r="AK147" s="17"/>
      <c r="AL147" s="42" t="str">
        <f aca="false">IF(SUM(AM147:AR147)&gt;0, 1, "")</f>
        <v/>
      </c>
      <c r="AM147" s="17"/>
      <c r="AN147" s="17"/>
      <c r="AO147" s="17"/>
      <c r="AP147" s="17"/>
      <c r="AQ147" s="17"/>
      <c r="AR147" s="17"/>
      <c r="AS147" s="42" t="str">
        <f aca="false">IF(SUM(AT147:AY147)&gt;0, 1, "")</f>
        <v/>
      </c>
      <c r="AT147" s="17"/>
      <c r="AU147" s="17"/>
      <c r="AV147" s="17"/>
      <c r="AW147" s="17"/>
      <c r="AX147" s="17"/>
      <c r="AZ147" s="42" t="str">
        <f aca="false">IF(SUM(BA147:BF147)&gt;0, 1, "")</f>
        <v/>
      </c>
      <c r="BB147" s="17"/>
      <c r="BC147" s="17"/>
      <c r="BD147" s="17"/>
      <c r="BE147" s="17"/>
      <c r="BF147" s="17"/>
      <c r="BG147" s="42" t="str">
        <f aca="false">IF(SUM(BH147:BM147)&gt;0, 1, "")</f>
        <v/>
      </c>
      <c r="BH147" s="17"/>
      <c r="BI147" s="17"/>
      <c r="BJ147" s="17"/>
      <c r="BK147" s="17"/>
      <c r="BL147" s="17"/>
      <c r="BM147" s="17"/>
    </row>
    <row r="148" customFormat="false" ht="15" hidden="false" customHeight="false" outlineLevel="0" collapsed="false">
      <c r="A148" s="17" t="s">
        <v>360</v>
      </c>
      <c r="B148" s="17" t="s">
        <v>361</v>
      </c>
      <c r="C148" s="42" t="str">
        <f aca="false">IF(SUM(D148:I148)&gt;0, 1, "")</f>
        <v/>
      </c>
      <c r="D148" s="17"/>
      <c r="E148" s="17"/>
      <c r="F148" s="17"/>
      <c r="G148" s="17"/>
      <c r="H148" s="17"/>
      <c r="I148" s="17"/>
      <c r="J148" s="42" t="str">
        <f aca="false">IF(SUM(K148:P148)&gt;0, 1, "")</f>
        <v/>
      </c>
      <c r="K148" s="17"/>
      <c r="L148" s="17"/>
      <c r="M148" s="17"/>
      <c r="N148" s="17"/>
      <c r="O148" s="17"/>
      <c r="P148" s="17"/>
      <c r="Q148" s="42" t="str">
        <f aca="false">IF(SUM(R148:W148)&gt;0, 1, "")</f>
        <v/>
      </c>
      <c r="R148" s="17"/>
      <c r="S148" s="17"/>
      <c r="T148" s="17"/>
      <c r="U148" s="17"/>
      <c r="V148" s="17"/>
      <c r="W148" s="17"/>
      <c r="X148" s="42" t="str">
        <f aca="false">IF(SUM(Y148:AD148)&gt;0, 1, "")</f>
        <v/>
      </c>
      <c r="Y148" s="17"/>
      <c r="Z148" s="17"/>
      <c r="AA148" s="17"/>
      <c r="AB148" s="17"/>
      <c r="AC148" s="17"/>
      <c r="AD148" s="17"/>
      <c r="AE148" s="42" t="str">
        <f aca="false">IF(SUM(AF148:AK148)&gt;0, 1, "")</f>
        <v/>
      </c>
      <c r="AF148" s="17"/>
      <c r="AJ148" s="17"/>
      <c r="AK148" s="17"/>
      <c r="AL148" s="42" t="str">
        <f aca="false">IF(SUM(AM148:AR148)&gt;0, 1, "")</f>
        <v/>
      </c>
      <c r="AM148" s="17"/>
      <c r="AN148" s="17"/>
      <c r="AO148" s="17"/>
      <c r="AP148" s="17"/>
      <c r="AQ148" s="17"/>
      <c r="AR148" s="17"/>
      <c r="AS148" s="42" t="str">
        <f aca="false">IF(SUM(AT148:AY148)&gt;0, 1, "")</f>
        <v/>
      </c>
      <c r="AT148" s="17"/>
      <c r="AU148" s="17"/>
      <c r="AV148" s="17"/>
      <c r="AW148" s="17"/>
      <c r="AX148" s="17"/>
      <c r="AZ148" s="42" t="str">
        <f aca="false">IF(SUM(BA148:BF148)&gt;0, 1, "")</f>
        <v/>
      </c>
      <c r="BB148" s="17"/>
      <c r="BC148" s="17"/>
      <c r="BD148" s="17"/>
      <c r="BE148" s="17"/>
      <c r="BF148" s="17"/>
      <c r="BG148" s="42" t="str">
        <f aca="false">IF(SUM(BH148:BM148)&gt;0, 1, "")</f>
        <v/>
      </c>
      <c r="BH148" s="17"/>
      <c r="BI148" s="17"/>
      <c r="BJ148" s="17"/>
      <c r="BK148" s="17"/>
      <c r="BL148" s="17"/>
      <c r="BM148" s="17"/>
    </row>
    <row r="149" customFormat="false" ht="15" hidden="false" customHeight="false" outlineLevel="0" collapsed="false">
      <c r="A149" s="17" t="s">
        <v>362</v>
      </c>
      <c r="B149" s="17" t="s">
        <v>363</v>
      </c>
      <c r="C149" s="42" t="str">
        <f aca="false">IF(SUM(D149:I149)&gt;0, 1, "")</f>
        <v/>
      </c>
      <c r="D149" s="17"/>
      <c r="E149" s="17"/>
      <c r="F149" s="17"/>
      <c r="G149" s="17"/>
      <c r="H149" s="17"/>
      <c r="I149" s="17"/>
      <c r="J149" s="42" t="str">
        <f aca="false">IF(SUM(K149:P149)&gt;0, 1, "")</f>
        <v/>
      </c>
      <c r="K149" s="17"/>
      <c r="L149" s="17"/>
      <c r="M149" s="17"/>
      <c r="N149" s="17"/>
      <c r="O149" s="17"/>
      <c r="P149" s="17"/>
      <c r="Q149" s="42" t="str">
        <f aca="false">IF(SUM(R149:W149)&gt;0, 1, "")</f>
        <v/>
      </c>
      <c r="R149" s="17"/>
      <c r="S149" s="17"/>
      <c r="T149" s="17"/>
      <c r="U149" s="17"/>
      <c r="V149" s="17"/>
      <c r="W149" s="17"/>
      <c r="X149" s="42" t="str">
        <f aca="false">IF(SUM(Y149:AD149)&gt;0, 1, "")</f>
        <v/>
      </c>
      <c r="Y149" s="17"/>
      <c r="Z149" s="17"/>
      <c r="AA149" s="17"/>
      <c r="AB149" s="17"/>
      <c r="AC149" s="17"/>
      <c r="AD149" s="17"/>
      <c r="AE149" s="42" t="str">
        <f aca="false">IF(SUM(AF149:AK149)&gt;0, 1, "")</f>
        <v/>
      </c>
      <c r="AF149" s="17"/>
      <c r="AJ149" s="17"/>
      <c r="AK149" s="17"/>
      <c r="AL149" s="42" t="str">
        <f aca="false">IF(SUM(AM149:AR149)&gt;0, 1, "")</f>
        <v/>
      </c>
      <c r="AM149" s="17"/>
      <c r="AN149" s="17"/>
      <c r="AO149" s="17"/>
      <c r="AP149" s="17"/>
      <c r="AQ149" s="17"/>
      <c r="AR149" s="17"/>
      <c r="AS149" s="42" t="str">
        <f aca="false">IF(SUM(AT149:AY149)&gt;0, 1, "")</f>
        <v/>
      </c>
      <c r="AT149" s="17"/>
      <c r="AU149" s="17"/>
      <c r="AV149" s="17"/>
      <c r="AW149" s="17"/>
      <c r="AX149" s="17"/>
      <c r="AZ149" s="42" t="str">
        <f aca="false">IF(SUM(BA149:BF149)&gt;0, 1, "")</f>
        <v/>
      </c>
      <c r="BB149" s="17"/>
      <c r="BC149" s="17"/>
      <c r="BD149" s="17"/>
      <c r="BE149" s="17"/>
      <c r="BF149" s="17"/>
      <c r="BG149" s="42" t="str">
        <f aca="false">IF(SUM(BH149:BM149)&gt;0, 1, "")</f>
        <v/>
      </c>
      <c r="BH149" s="17"/>
      <c r="BI149" s="17"/>
      <c r="BJ149" s="17"/>
      <c r="BK149" s="17"/>
      <c r="BL149" s="17"/>
      <c r="BM149" s="17"/>
    </row>
    <row r="150" customFormat="false" ht="15" hidden="false" customHeight="false" outlineLevel="0" collapsed="false">
      <c r="A150" s="17" t="s">
        <v>364</v>
      </c>
      <c r="B150" s="17" t="s">
        <v>365</v>
      </c>
      <c r="C150" s="42" t="str">
        <f aca="false">IF(SUM(D150:I150)&gt;0, 1, "")</f>
        <v/>
      </c>
      <c r="D150" s="17"/>
      <c r="E150" s="17"/>
      <c r="F150" s="17"/>
      <c r="G150" s="17"/>
      <c r="H150" s="17"/>
      <c r="I150" s="17"/>
      <c r="J150" s="42" t="str">
        <f aca="false">IF(SUM(K150:P150)&gt;0, 1, "")</f>
        <v/>
      </c>
      <c r="K150" s="17"/>
      <c r="L150" s="17"/>
      <c r="M150" s="17"/>
      <c r="N150" s="17"/>
      <c r="O150" s="17"/>
      <c r="P150" s="17"/>
      <c r="Q150" s="42" t="str">
        <f aca="false">IF(SUM(R150:W150)&gt;0, 1, "")</f>
        <v/>
      </c>
      <c r="R150" s="17"/>
      <c r="S150" s="17"/>
      <c r="T150" s="17"/>
      <c r="U150" s="17"/>
      <c r="V150" s="17"/>
      <c r="W150" s="17"/>
      <c r="X150" s="42" t="str">
        <f aca="false">IF(SUM(Y150:AD150)&gt;0, 1, "")</f>
        <v/>
      </c>
      <c r="Y150" s="17"/>
      <c r="Z150" s="17"/>
      <c r="AA150" s="17"/>
      <c r="AB150" s="17"/>
      <c r="AC150" s="17"/>
      <c r="AD150" s="17"/>
      <c r="AE150" s="42" t="str">
        <f aca="false">IF(SUM(AF150:AK150)&gt;0, 1, "")</f>
        <v/>
      </c>
      <c r="AF150" s="17"/>
      <c r="AJ150" s="17"/>
      <c r="AK150" s="17"/>
      <c r="AL150" s="42" t="str">
        <f aca="false">IF(SUM(AM150:AR150)&gt;0, 1, "")</f>
        <v/>
      </c>
      <c r="AM150" s="17"/>
      <c r="AN150" s="17"/>
      <c r="AO150" s="17"/>
      <c r="AP150" s="17"/>
      <c r="AQ150" s="17"/>
      <c r="AR150" s="17"/>
      <c r="AS150" s="42" t="str">
        <f aca="false">IF(SUM(AT150:AY150)&gt;0, 1, "")</f>
        <v/>
      </c>
      <c r="AT150" s="17"/>
      <c r="AU150" s="17"/>
      <c r="AV150" s="17"/>
      <c r="AW150" s="17"/>
      <c r="AX150" s="17"/>
      <c r="AZ150" s="42" t="str">
        <f aca="false">IF(SUM(BA150:BF150)&gt;0, 1, "")</f>
        <v/>
      </c>
      <c r="BB150" s="17"/>
      <c r="BC150" s="17"/>
      <c r="BD150" s="17"/>
      <c r="BE150" s="17"/>
      <c r="BF150" s="17"/>
      <c r="BG150" s="42" t="str">
        <f aca="false">IF(SUM(BH150:BM150)&gt;0, 1, "")</f>
        <v/>
      </c>
      <c r="BH150" s="17"/>
      <c r="BI150" s="17"/>
      <c r="BJ150" s="17"/>
      <c r="BK150" s="17"/>
      <c r="BL150" s="17"/>
      <c r="BM150" s="17"/>
    </row>
    <row r="151" customFormat="false" ht="15" hidden="false" customHeight="false" outlineLevel="0" collapsed="false">
      <c r="A151" s="17" t="s">
        <v>366</v>
      </c>
      <c r="B151" s="17" t="s">
        <v>367</v>
      </c>
      <c r="C151" s="42" t="str">
        <f aca="false">IF(SUM(D151:I151)&gt;0, 1, "")</f>
        <v/>
      </c>
      <c r="D151" s="17"/>
      <c r="E151" s="17"/>
      <c r="F151" s="17"/>
      <c r="G151" s="17"/>
      <c r="H151" s="17"/>
      <c r="I151" s="17"/>
      <c r="J151" s="42" t="str">
        <f aca="false">IF(SUM(K151:P151)&gt;0, 1, "")</f>
        <v/>
      </c>
      <c r="K151" s="17"/>
      <c r="L151" s="17"/>
      <c r="M151" s="17"/>
      <c r="N151" s="17"/>
      <c r="O151" s="17"/>
      <c r="P151" s="17"/>
      <c r="Q151" s="42" t="str">
        <f aca="false">IF(SUM(R151:W151)&gt;0, 1, "")</f>
        <v/>
      </c>
      <c r="R151" s="17"/>
      <c r="S151" s="17"/>
      <c r="T151" s="17"/>
      <c r="U151" s="17"/>
      <c r="V151" s="17"/>
      <c r="W151" s="17"/>
      <c r="X151" s="42" t="str">
        <f aca="false">IF(SUM(Y151:AD151)&gt;0, 1, "")</f>
        <v/>
      </c>
      <c r="Y151" s="17"/>
      <c r="Z151" s="17"/>
      <c r="AA151" s="17"/>
      <c r="AB151" s="17"/>
      <c r="AC151" s="17"/>
      <c r="AD151" s="17"/>
      <c r="AE151" s="42" t="str">
        <f aca="false">IF(SUM(AF151:AK151)&gt;0, 1, "")</f>
        <v/>
      </c>
      <c r="AF151" s="17"/>
      <c r="AG151" s="17"/>
      <c r="AH151" s="17"/>
      <c r="AI151" s="17"/>
      <c r="AJ151" s="17"/>
      <c r="AK151" s="17"/>
      <c r="AL151" s="42" t="str">
        <f aca="false">IF(SUM(AM151:AR151)&gt;0, 1, "")</f>
        <v/>
      </c>
      <c r="AM151" s="17"/>
      <c r="AN151" s="17"/>
      <c r="AO151" s="17"/>
      <c r="AP151" s="17"/>
      <c r="AQ151" s="17"/>
      <c r="AR151" s="17"/>
      <c r="AS151" s="42" t="str">
        <f aca="false">IF(SUM(AT151:AY151)&gt;0, 1, "")</f>
        <v/>
      </c>
      <c r="AT151" s="17"/>
      <c r="AU151" s="17"/>
      <c r="AV151" s="17"/>
      <c r="AW151" s="17"/>
      <c r="AX151" s="17"/>
      <c r="AY151" s="17"/>
      <c r="AZ151" s="42" t="str">
        <f aca="false">IF(SUM(BA151:BF151)&gt;0, 1, "")</f>
        <v/>
      </c>
      <c r="BA151" s="17"/>
      <c r="BB151" s="17"/>
      <c r="BC151" s="17"/>
      <c r="BD151" s="17"/>
      <c r="BE151" s="17"/>
      <c r="BF151" s="17"/>
      <c r="BG151" s="42" t="str">
        <f aca="false">IF(SUM(BH151:BM151)&gt;0, 1, "")</f>
        <v/>
      </c>
      <c r="BH151" s="17"/>
      <c r="BI151" s="17"/>
      <c r="BJ151" s="17"/>
      <c r="BK151" s="17"/>
      <c r="BL151" s="17"/>
      <c r="BM151" s="17"/>
    </row>
    <row r="152" customFormat="false" ht="15" hidden="false" customHeight="false" outlineLevel="0" collapsed="false">
      <c r="A152" s="17" t="s">
        <v>368</v>
      </c>
      <c r="B152" s="17" t="s">
        <v>369</v>
      </c>
      <c r="C152" s="42" t="str">
        <f aca="false">IF(SUM(D152:I152)&gt;0, 1, "")</f>
        <v/>
      </c>
      <c r="D152" s="17"/>
      <c r="E152" s="17"/>
      <c r="F152" s="17"/>
      <c r="G152" s="17"/>
      <c r="H152" s="17"/>
      <c r="I152" s="17"/>
      <c r="J152" s="42" t="str">
        <f aca="false">IF(SUM(K152:P152)&gt;0, 1, "")</f>
        <v/>
      </c>
      <c r="K152" s="17"/>
      <c r="L152" s="17"/>
      <c r="M152" s="17"/>
      <c r="N152" s="17"/>
      <c r="O152" s="17"/>
      <c r="P152" s="17"/>
      <c r="Q152" s="42" t="str">
        <f aca="false">IF(SUM(R152:W152)&gt;0, 1, "")</f>
        <v/>
      </c>
      <c r="R152" s="17"/>
      <c r="S152" s="17"/>
      <c r="T152" s="17"/>
      <c r="U152" s="17"/>
      <c r="V152" s="17"/>
      <c r="W152" s="17"/>
      <c r="X152" s="42" t="str">
        <f aca="false">IF(SUM(Y152:AD152)&gt;0, 1, "")</f>
        <v/>
      </c>
      <c r="Y152" s="17"/>
      <c r="Z152" s="17"/>
      <c r="AA152" s="17"/>
      <c r="AB152" s="17"/>
      <c r="AC152" s="17"/>
      <c r="AD152" s="17"/>
      <c r="AE152" s="42" t="str">
        <f aca="false">IF(SUM(AF152:AK152)&gt;0, 1, "")</f>
        <v/>
      </c>
      <c r="AF152" s="17"/>
      <c r="AJ152" s="17"/>
      <c r="AK152" s="17"/>
      <c r="AL152" s="42" t="str">
        <f aca="false">IF(SUM(AM152:AR152)&gt;0, 1, "")</f>
        <v/>
      </c>
      <c r="AM152" s="17"/>
      <c r="AN152" s="17"/>
      <c r="AO152" s="17"/>
      <c r="AP152" s="17"/>
      <c r="AQ152" s="17"/>
      <c r="AR152" s="17"/>
      <c r="AS152" s="42" t="str">
        <f aca="false">IF(SUM(AT152:AY152)&gt;0, 1, "")</f>
        <v/>
      </c>
      <c r="AT152" s="17"/>
      <c r="AU152" s="17"/>
      <c r="AV152" s="17"/>
      <c r="AW152" s="17"/>
      <c r="AX152" s="17"/>
      <c r="AZ152" s="42" t="str">
        <f aca="false">IF(SUM(BA152:BF152)&gt;0, 1, "")</f>
        <v/>
      </c>
      <c r="BB152" s="17"/>
      <c r="BC152" s="17"/>
      <c r="BD152" s="17"/>
      <c r="BE152" s="17"/>
      <c r="BF152" s="17"/>
      <c r="BG152" s="42" t="str">
        <f aca="false">IF(SUM(BH152:BM152)&gt;0, 1, "")</f>
        <v/>
      </c>
      <c r="BH152" s="17"/>
      <c r="BI152" s="17"/>
      <c r="BJ152" s="17"/>
      <c r="BK152" s="17"/>
      <c r="BL152" s="17"/>
      <c r="BM152" s="17"/>
    </row>
    <row r="153" customFormat="false" ht="15" hidden="false" customHeight="false" outlineLevel="0" collapsed="false">
      <c r="A153" s="17" t="s">
        <v>370</v>
      </c>
      <c r="B153" s="17" t="s">
        <v>371</v>
      </c>
      <c r="C153" s="42" t="str">
        <f aca="false">IF(SUM(D153:I153)&gt;0, 1, "")</f>
        <v/>
      </c>
      <c r="D153" s="17"/>
      <c r="E153" s="17"/>
      <c r="F153" s="17"/>
      <c r="G153" s="17"/>
      <c r="H153" s="17"/>
      <c r="I153" s="17"/>
      <c r="J153" s="42" t="str">
        <f aca="false">IF(SUM(K153:P153)&gt;0, 1, "")</f>
        <v/>
      </c>
      <c r="K153" s="17"/>
      <c r="L153" s="17"/>
      <c r="M153" s="17"/>
      <c r="N153" s="17"/>
      <c r="O153" s="17"/>
      <c r="P153" s="17"/>
      <c r="Q153" s="42" t="str">
        <f aca="false">IF(SUM(R153:W153)&gt;0, 1, "")</f>
        <v/>
      </c>
      <c r="R153" s="17"/>
      <c r="S153" s="17"/>
      <c r="T153" s="17"/>
      <c r="U153" s="17"/>
      <c r="V153" s="17"/>
      <c r="W153" s="17"/>
      <c r="X153" s="42" t="str">
        <f aca="false">IF(SUM(Y153:AD153)&gt;0, 1, "")</f>
        <v/>
      </c>
      <c r="Y153" s="17"/>
      <c r="Z153" s="17"/>
      <c r="AA153" s="17"/>
      <c r="AB153" s="17"/>
      <c r="AC153" s="17"/>
      <c r="AD153" s="17"/>
      <c r="AE153" s="42" t="str">
        <f aca="false">IF(SUM(AF153:AK153)&gt;0, 1, "")</f>
        <v/>
      </c>
      <c r="AF153" s="17"/>
      <c r="AG153" s="17"/>
      <c r="AH153" s="17"/>
      <c r="AI153" s="17"/>
      <c r="AJ153" s="17"/>
      <c r="AK153" s="17"/>
      <c r="AL153" s="42" t="str">
        <f aca="false">IF(SUM(AM153:AR153)&gt;0, 1, "")</f>
        <v/>
      </c>
      <c r="AM153" s="17"/>
      <c r="AN153" s="17"/>
      <c r="AO153" s="17"/>
      <c r="AP153" s="17"/>
      <c r="AQ153" s="17"/>
      <c r="AR153" s="17"/>
      <c r="AS153" s="42" t="str">
        <f aca="false">IF(SUM(AT153:AY153)&gt;0, 1, "")</f>
        <v/>
      </c>
      <c r="AT153" s="17"/>
      <c r="AU153" s="17"/>
      <c r="AV153" s="17"/>
      <c r="AW153" s="17"/>
      <c r="AX153" s="17"/>
      <c r="AY153" s="17"/>
      <c r="AZ153" s="42" t="str">
        <f aca="false">IF(SUM(BA153:BF153)&gt;0, 1, "")</f>
        <v/>
      </c>
      <c r="BA153" s="17"/>
      <c r="BB153" s="17"/>
      <c r="BC153" s="17"/>
      <c r="BD153" s="17"/>
      <c r="BE153" s="17"/>
      <c r="BF153" s="17"/>
      <c r="BG153" s="42" t="str">
        <f aca="false">IF(SUM(BH153:BM153)&gt;0, 1, "")</f>
        <v/>
      </c>
      <c r="BH153" s="17"/>
      <c r="BI153" s="17"/>
      <c r="BJ153" s="17"/>
      <c r="BK153" s="17"/>
      <c r="BL153" s="17"/>
      <c r="BM153" s="17"/>
    </row>
    <row r="154" customFormat="false" ht="15" hidden="false" customHeight="false" outlineLevel="0" collapsed="false">
      <c r="A154" s="17" t="s">
        <v>372</v>
      </c>
      <c r="B154" s="17" t="s">
        <v>373</v>
      </c>
      <c r="C154" s="42" t="n">
        <f aca="false">IF(SUM(D154:I154)&gt;0, 1, "")</f>
        <v>1</v>
      </c>
      <c r="D154" s="17"/>
      <c r="E154" s="17"/>
      <c r="F154" s="17" t="n">
        <v>1</v>
      </c>
      <c r="G154" s="17" t="n">
        <v>1</v>
      </c>
      <c r="H154" s="17"/>
      <c r="I154" s="17"/>
      <c r="J154" s="42" t="n">
        <f aca="false">IF(SUM(K154:P154)&gt;0, 1, "")</f>
        <v>1</v>
      </c>
      <c r="K154" s="17"/>
      <c r="L154" s="17"/>
      <c r="M154" s="17" t="n">
        <v>1</v>
      </c>
      <c r="N154" s="17" t="n">
        <v>1</v>
      </c>
      <c r="O154" s="17"/>
      <c r="P154" s="17"/>
      <c r="Q154" s="42" t="n">
        <f aca="false">IF(SUM(R154:W154)&gt;0, 1, "")</f>
        <v>1</v>
      </c>
      <c r="R154" s="17"/>
      <c r="S154" s="17"/>
      <c r="T154" s="17" t="n">
        <v>1</v>
      </c>
      <c r="U154" s="17" t="n">
        <v>1</v>
      </c>
      <c r="V154" s="17"/>
      <c r="W154" s="17"/>
      <c r="X154" s="42" t="n">
        <f aca="false">IF(SUM(Y154:AD154)&gt;0, 1, "")</f>
        <v>1</v>
      </c>
      <c r="Y154" s="17"/>
      <c r="Z154" s="17"/>
      <c r="AA154" s="17" t="n">
        <v>1</v>
      </c>
      <c r="AB154" s="17" t="n">
        <v>1</v>
      </c>
      <c r="AC154" s="17"/>
      <c r="AD154" s="17"/>
      <c r="AE154" s="42" t="n">
        <f aca="false">IF(SUM(AF154:AK154)&gt;0, 1, "")</f>
        <v>1</v>
      </c>
      <c r="AF154" s="17"/>
      <c r="AG154" s="17"/>
      <c r="AH154" s="17" t="n">
        <v>1</v>
      </c>
      <c r="AI154" s="17" t="n">
        <v>1</v>
      </c>
      <c r="AJ154" s="17"/>
      <c r="AK154" s="17"/>
      <c r="AL154" s="42" t="n">
        <f aca="false">IF(SUM(AM154:AR154)&gt;0, 1, "")</f>
        <v>1</v>
      </c>
      <c r="AM154" s="17"/>
      <c r="AN154" s="17"/>
      <c r="AO154" s="17" t="n">
        <v>1</v>
      </c>
      <c r="AP154" s="17" t="n">
        <v>1</v>
      </c>
      <c r="AQ154" s="17"/>
      <c r="AR154" s="17"/>
      <c r="AS154" s="42" t="n">
        <f aca="false">IF(SUM(AT154:AY154)&gt;0, 1, "")</f>
        <v>1</v>
      </c>
      <c r="AT154" s="17"/>
      <c r="AU154" s="17"/>
      <c r="AV154" s="17" t="n">
        <v>1</v>
      </c>
      <c r="AW154" s="17" t="n">
        <v>1</v>
      </c>
      <c r="AX154" s="17"/>
      <c r="AY154" s="17"/>
      <c r="AZ154" s="42" t="n">
        <f aca="false">IF(SUM(BA154:BF154)&gt;0, 1, "")</f>
        <v>1</v>
      </c>
      <c r="BA154" s="17"/>
      <c r="BB154" s="17"/>
      <c r="BC154" s="17" t="n">
        <v>1</v>
      </c>
      <c r="BD154" s="17" t="n">
        <v>1</v>
      </c>
      <c r="BE154" s="17"/>
      <c r="BF154" s="17"/>
      <c r="BG154" s="42" t="n">
        <f aca="false">IF(SUM(BH154:BM154)&gt;0, 1, "")</f>
        <v>1</v>
      </c>
      <c r="BH154" s="17"/>
      <c r="BI154" s="17"/>
      <c r="BJ154" s="17" t="n">
        <v>1</v>
      </c>
      <c r="BK154" s="17" t="n">
        <v>1</v>
      </c>
      <c r="BL154" s="17"/>
      <c r="BM154" s="17"/>
    </row>
    <row r="155" customFormat="false" ht="15" hidden="false" customHeight="false" outlineLevel="0" collapsed="false">
      <c r="A155" s="17" t="s">
        <v>374</v>
      </c>
      <c r="B155" s="17" t="s">
        <v>375</v>
      </c>
      <c r="C155" s="42" t="str">
        <f aca="false">IF(SUM(D155:I155)&gt;0, 1, "")</f>
        <v/>
      </c>
      <c r="D155" s="17"/>
      <c r="E155" s="17"/>
      <c r="F155" s="17"/>
      <c r="G155" s="17"/>
      <c r="H155" s="17"/>
      <c r="I155" s="17"/>
      <c r="J155" s="42" t="str">
        <f aca="false">IF(SUM(K155:P155)&gt;0, 1, "")</f>
        <v/>
      </c>
      <c r="K155" s="17"/>
      <c r="L155" s="17"/>
      <c r="M155" s="17"/>
      <c r="N155" s="17"/>
      <c r="O155" s="17"/>
      <c r="P155" s="17"/>
      <c r="Q155" s="42" t="str">
        <f aca="false">IF(SUM(R155:W155)&gt;0, 1, "")</f>
        <v/>
      </c>
      <c r="R155" s="17"/>
      <c r="S155" s="17"/>
      <c r="T155" s="17"/>
      <c r="U155" s="17"/>
      <c r="V155" s="17"/>
      <c r="W155" s="17"/>
      <c r="X155" s="42" t="str">
        <f aca="false">IF(SUM(Y155:AD155)&gt;0, 1, "")</f>
        <v/>
      </c>
      <c r="Y155" s="17"/>
      <c r="Z155" s="17"/>
      <c r="AA155" s="17"/>
      <c r="AB155" s="17"/>
      <c r="AC155" s="17"/>
      <c r="AD155" s="17"/>
      <c r="AE155" s="42" t="str">
        <f aca="false">IF(SUM(AF155:AK155)&gt;0, 1, "")</f>
        <v/>
      </c>
      <c r="AF155" s="17"/>
      <c r="AJ155" s="17"/>
      <c r="AK155" s="17"/>
      <c r="AL155" s="42" t="str">
        <f aca="false">IF(SUM(AM155:AR155)&gt;0, 1, "")</f>
        <v/>
      </c>
      <c r="AM155" s="17"/>
      <c r="AN155" s="17"/>
      <c r="AO155" s="17"/>
      <c r="AP155" s="17"/>
      <c r="AQ155" s="17"/>
      <c r="AR155" s="17"/>
      <c r="AS155" s="42" t="str">
        <f aca="false">IF(SUM(AT155:AY155)&gt;0, 1, "")</f>
        <v/>
      </c>
      <c r="AT155" s="17"/>
      <c r="AU155" s="17"/>
      <c r="AV155" s="17"/>
      <c r="AW155" s="17"/>
      <c r="AX155" s="17"/>
      <c r="AZ155" s="42" t="str">
        <f aca="false">IF(SUM(BA155:BF155)&gt;0, 1, "")</f>
        <v/>
      </c>
      <c r="BB155" s="17"/>
      <c r="BC155" s="17"/>
      <c r="BD155" s="17"/>
      <c r="BE155" s="17"/>
      <c r="BF155" s="17"/>
      <c r="BG155" s="42" t="str">
        <f aca="false">IF(SUM(BH155:BM155)&gt;0, 1, "")</f>
        <v/>
      </c>
      <c r="BH155" s="17"/>
      <c r="BI155" s="17"/>
      <c r="BJ155" s="17"/>
      <c r="BK155" s="17"/>
      <c r="BL155" s="17"/>
      <c r="BM155" s="17"/>
    </row>
    <row r="156" customFormat="false" ht="15" hidden="false" customHeight="false" outlineLevel="0" collapsed="false">
      <c r="A156" s="17" t="s">
        <v>376</v>
      </c>
      <c r="B156" s="17" t="s">
        <v>377</v>
      </c>
      <c r="C156" s="42" t="str">
        <f aca="false">IF(SUM(D156:I156)&gt;0, 1, "")</f>
        <v/>
      </c>
      <c r="D156" s="17"/>
      <c r="E156" s="17"/>
      <c r="F156" s="17"/>
      <c r="G156" s="17"/>
      <c r="H156" s="17"/>
      <c r="I156" s="17"/>
      <c r="J156" s="42" t="str">
        <f aca="false">IF(SUM(K156:P156)&gt;0, 1, "")</f>
        <v/>
      </c>
      <c r="K156" s="17"/>
      <c r="L156" s="17"/>
      <c r="M156" s="17"/>
      <c r="N156" s="17"/>
      <c r="O156" s="17"/>
      <c r="P156" s="17"/>
      <c r="Q156" s="42" t="str">
        <f aca="false">IF(SUM(R156:W156)&gt;0, 1, "")</f>
        <v/>
      </c>
      <c r="R156" s="17"/>
      <c r="S156" s="17"/>
      <c r="T156" s="17"/>
      <c r="U156" s="17"/>
      <c r="V156" s="17"/>
      <c r="W156" s="17"/>
      <c r="X156" s="42" t="str">
        <f aca="false">IF(SUM(Y156:AD156)&gt;0, 1, "")</f>
        <v/>
      </c>
      <c r="Y156" s="17"/>
      <c r="Z156" s="17"/>
      <c r="AA156" s="17"/>
      <c r="AB156" s="17"/>
      <c r="AC156" s="17"/>
      <c r="AD156" s="17"/>
      <c r="AE156" s="42" t="str">
        <f aca="false">IF(SUM(AF156:AK156)&gt;0, 1, "")</f>
        <v/>
      </c>
      <c r="AF156" s="17"/>
      <c r="AG156" s="17"/>
      <c r="AH156" s="17"/>
      <c r="AI156" s="17"/>
      <c r="AJ156" s="17"/>
      <c r="AK156" s="17"/>
      <c r="AL156" s="42" t="str">
        <f aca="false">IF(SUM(AM156:AR156)&gt;0, 1, "")</f>
        <v/>
      </c>
      <c r="AM156" s="17"/>
      <c r="AN156" s="17"/>
      <c r="AO156" s="17"/>
      <c r="AP156" s="17"/>
      <c r="AQ156" s="17"/>
      <c r="AR156" s="17"/>
      <c r="AS156" s="42" t="str">
        <f aca="false">IF(SUM(AT156:AY156)&gt;0, 1, "")</f>
        <v/>
      </c>
      <c r="AT156" s="17"/>
      <c r="AU156" s="17"/>
      <c r="AV156" s="17"/>
      <c r="AW156" s="17"/>
      <c r="AX156" s="17"/>
      <c r="AY156" s="17"/>
      <c r="AZ156" s="42" t="str">
        <f aca="false">IF(SUM(BA156:BF156)&gt;0, 1, "")</f>
        <v/>
      </c>
      <c r="BA156" s="17"/>
      <c r="BB156" s="17"/>
      <c r="BC156" s="17"/>
      <c r="BD156" s="17"/>
      <c r="BE156" s="17"/>
      <c r="BF156" s="17"/>
      <c r="BG156" s="42" t="str">
        <f aca="false">IF(SUM(BH156:BM156)&gt;0, 1, "")</f>
        <v/>
      </c>
      <c r="BH156" s="17"/>
      <c r="BI156" s="17"/>
      <c r="BJ156" s="17"/>
      <c r="BK156" s="17"/>
      <c r="BL156" s="17"/>
      <c r="BM156" s="17"/>
    </row>
    <row r="157" customFormat="false" ht="15" hidden="false" customHeight="false" outlineLevel="0" collapsed="false">
      <c r="A157" s="17" t="s">
        <v>378</v>
      </c>
      <c r="B157" s="17" t="s">
        <v>379</v>
      </c>
      <c r="C157" s="42" t="str">
        <f aca="false">IF(SUM(D157:I157)&gt;0, 1, "")</f>
        <v/>
      </c>
      <c r="D157" s="17"/>
      <c r="E157" s="17"/>
      <c r="F157" s="17"/>
      <c r="G157" s="17"/>
      <c r="H157" s="17"/>
      <c r="I157" s="17"/>
      <c r="J157" s="42" t="str">
        <f aca="false">IF(SUM(K157:P157)&gt;0, 1, "")</f>
        <v/>
      </c>
      <c r="K157" s="17"/>
      <c r="L157" s="17"/>
      <c r="M157" s="17"/>
      <c r="N157" s="17"/>
      <c r="O157" s="17"/>
      <c r="P157" s="17"/>
      <c r="Q157" s="42" t="str">
        <f aca="false">IF(SUM(R157:W157)&gt;0, 1, "")</f>
        <v/>
      </c>
      <c r="R157" s="17"/>
      <c r="S157" s="17"/>
      <c r="T157" s="17"/>
      <c r="U157" s="17"/>
      <c r="V157" s="17"/>
      <c r="W157" s="17"/>
      <c r="X157" s="42" t="str">
        <f aca="false">IF(SUM(Y157:AD157)&gt;0, 1, "")</f>
        <v/>
      </c>
      <c r="Y157" s="17"/>
      <c r="Z157" s="17"/>
      <c r="AA157" s="17"/>
      <c r="AB157" s="17"/>
      <c r="AC157" s="17"/>
      <c r="AD157" s="17"/>
      <c r="AE157" s="42" t="str">
        <f aca="false">IF(SUM(AF157:AK157)&gt;0, 1, "")</f>
        <v/>
      </c>
      <c r="AF157" s="17"/>
      <c r="AG157" s="17"/>
      <c r="AH157" s="17"/>
      <c r="AI157" s="17"/>
      <c r="AJ157" s="17"/>
      <c r="AK157" s="17"/>
      <c r="AL157" s="42" t="str">
        <f aca="false">IF(SUM(AM157:AR157)&gt;0, 1, "")</f>
        <v/>
      </c>
      <c r="AM157" s="17"/>
      <c r="AN157" s="17"/>
      <c r="AO157" s="17"/>
      <c r="AP157" s="17"/>
      <c r="AQ157" s="17"/>
      <c r="AR157" s="17"/>
      <c r="AS157" s="42" t="str">
        <f aca="false">IF(SUM(AT157:AY157)&gt;0, 1, "")</f>
        <v/>
      </c>
      <c r="AT157" s="17"/>
      <c r="AU157" s="17"/>
      <c r="AV157" s="17"/>
      <c r="AW157" s="17"/>
      <c r="AX157" s="17"/>
      <c r="AY157" s="17"/>
      <c r="AZ157" s="42" t="str">
        <f aca="false">IF(SUM(BA157:BF157)&gt;0, 1, "")</f>
        <v/>
      </c>
      <c r="BA157" s="17"/>
      <c r="BB157" s="17"/>
      <c r="BC157" s="17"/>
      <c r="BD157" s="17"/>
      <c r="BE157" s="17"/>
      <c r="BF157" s="17"/>
      <c r="BG157" s="42" t="str">
        <f aca="false">IF(SUM(BH157:BM157)&gt;0, 1, "")</f>
        <v/>
      </c>
      <c r="BH157" s="17"/>
      <c r="BI157" s="17"/>
      <c r="BJ157" s="17"/>
      <c r="BK157" s="17"/>
      <c r="BL157" s="17"/>
      <c r="BM157" s="17"/>
    </row>
    <row r="158" customFormat="false" ht="15" hidden="false" customHeight="false" outlineLevel="0" collapsed="false">
      <c r="A158" s="17" t="s">
        <v>380</v>
      </c>
      <c r="B158" s="17" t="s">
        <v>381</v>
      </c>
      <c r="C158" s="42" t="str">
        <f aca="false">IF(SUM(D158:I158)&gt;0, 1, "")</f>
        <v/>
      </c>
      <c r="D158" s="17"/>
      <c r="E158" s="17"/>
      <c r="F158" s="17"/>
      <c r="G158" s="17"/>
      <c r="H158" s="17"/>
      <c r="I158" s="17"/>
      <c r="J158" s="42" t="str">
        <f aca="false">IF(SUM(K158:P158)&gt;0, 1, "")</f>
        <v/>
      </c>
      <c r="K158" s="17"/>
      <c r="L158" s="17"/>
      <c r="M158" s="17"/>
      <c r="N158" s="17"/>
      <c r="O158" s="17"/>
      <c r="P158" s="17"/>
      <c r="Q158" s="42" t="str">
        <f aca="false">IF(SUM(R158:W158)&gt;0, 1, "")</f>
        <v/>
      </c>
      <c r="R158" s="17"/>
      <c r="S158" s="17"/>
      <c r="T158" s="17"/>
      <c r="U158" s="17"/>
      <c r="V158" s="17"/>
      <c r="W158" s="17"/>
      <c r="X158" s="42" t="str">
        <f aca="false">IF(SUM(Y158:AD158)&gt;0, 1, "")</f>
        <v/>
      </c>
      <c r="Y158" s="17"/>
      <c r="Z158" s="17"/>
      <c r="AA158" s="17"/>
      <c r="AB158" s="17"/>
      <c r="AC158" s="17"/>
      <c r="AD158" s="17"/>
      <c r="AE158" s="42" t="str">
        <f aca="false">IF(SUM(AF158:AK158)&gt;0, 1, "")</f>
        <v/>
      </c>
      <c r="AF158" s="17"/>
      <c r="AG158" s="17"/>
      <c r="AH158" s="17"/>
      <c r="AI158" s="17"/>
      <c r="AJ158" s="17"/>
      <c r="AK158" s="17"/>
      <c r="AL158" s="42" t="str">
        <f aca="false">IF(SUM(AM158:AR158)&gt;0, 1, "")</f>
        <v/>
      </c>
      <c r="AM158" s="17"/>
      <c r="AN158" s="17"/>
      <c r="AO158" s="17"/>
      <c r="AP158" s="17"/>
      <c r="AQ158" s="17"/>
      <c r="AR158" s="17"/>
      <c r="AS158" s="42" t="str">
        <f aca="false">IF(SUM(AT158:AY158)&gt;0, 1, "")</f>
        <v/>
      </c>
      <c r="AT158" s="17"/>
      <c r="AU158" s="17"/>
      <c r="AV158" s="17"/>
      <c r="AW158" s="17"/>
      <c r="AX158" s="17"/>
      <c r="AY158" s="17"/>
      <c r="AZ158" s="42" t="str">
        <f aca="false">IF(SUM(BA158:BF158)&gt;0, 1, "")</f>
        <v/>
      </c>
      <c r="BA158" s="17"/>
      <c r="BB158" s="17"/>
      <c r="BC158" s="17"/>
      <c r="BD158" s="17"/>
      <c r="BE158" s="17"/>
      <c r="BF158" s="17"/>
      <c r="BG158" s="42" t="str">
        <f aca="false">IF(SUM(BH158:BM158)&gt;0, 1, "")</f>
        <v/>
      </c>
      <c r="BH158" s="17"/>
      <c r="BI158" s="17"/>
      <c r="BJ158" s="17"/>
      <c r="BK158" s="17"/>
      <c r="BL158" s="17"/>
      <c r="BM158" s="17"/>
    </row>
    <row r="159" s="43" customFormat="tru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J106" activeCellId="0" sqref="J106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40.71"/>
    <col collapsed="false" customWidth="false" hidden="false" outlineLevel="0" max="16384" min="3" style="1" width="9.14"/>
  </cols>
  <sheetData>
    <row r="1" customFormat="false" ht="15" hidden="false" customHeight="false" outlineLevel="0" collapsed="false">
      <c r="A1" s="44" t="s">
        <v>0</v>
      </c>
      <c r="B1" s="17"/>
      <c r="C1" s="17" t="s">
        <v>770</v>
      </c>
    </row>
    <row r="2" customFormat="false" ht="15" hidden="false" customHeight="false" outlineLevel="0" collapsed="false">
      <c r="A2" s="17"/>
      <c r="B2" s="17"/>
      <c r="C2" s="17"/>
    </row>
    <row r="3" customFormat="false" ht="15" hidden="false" customHeight="false" outlineLevel="0" collapsed="false">
      <c r="A3" s="17" t="s">
        <v>70</v>
      </c>
      <c r="B3" s="17" t="s">
        <v>71</v>
      </c>
      <c r="C3" s="17"/>
    </row>
    <row r="4" customFormat="false" ht="15" hidden="false" customHeight="false" outlineLevel="0" collapsed="false">
      <c r="A4" s="17" t="s">
        <v>72</v>
      </c>
      <c r="B4" s="17" t="s">
        <v>73</v>
      </c>
      <c r="C4" s="17"/>
    </row>
    <row r="5" customFormat="false" ht="15" hidden="false" customHeight="false" outlineLevel="0" collapsed="false">
      <c r="A5" s="17" t="s">
        <v>74</v>
      </c>
      <c r="B5" s="17" t="s">
        <v>75</v>
      </c>
      <c r="C5" s="17"/>
    </row>
    <row r="6" customFormat="false" ht="15" hidden="false" customHeight="false" outlineLevel="0" collapsed="false">
      <c r="A6" s="17" t="s">
        <v>76</v>
      </c>
      <c r="B6" s="17" t="s">
        <v>77</v>
      </c>
      <c r="C6" s="17"/>
    </row>
    <row r="7" customFormat="false" ht="15" hidden="false" customHeight="false" outlineLevel="0" collapsed="false">
      <c r="A7" s="17" t="s">
        <v>78</v>
      </c>
      <c r="B7" s="17" t="s">
        <v>79</v>
      </c>
      <c r="C7" s="17"/>
    </row>
    <row r="8" customFormat="false" ht="15" hidden="false" customHeight="false" outlineLevel="0" collapsed="false">
      <c r="A8" s="17" t="s">
        <v>80</v>
      </c>
      <c r="B8" s="17" t="s">
        <v>81</v>
      </c>
      <c r="C8" s="17"/>
    </row>
    <row r="9" customFormat="false" ht="15" hidden="false" customHeight="false" outlineLevel="0" collapsed="false">
      <c r="A9" s="17" t="s">
        <v>82</v>
      </c>
      <c r="B9" s="17" t="s">
        <v>83</v>
      </c>
      <c r="C9" s="17"/>
    </row>
    <row r="10" customFormat="false" ht="15" hidden="false" customHeight="false" outlineLevel="0" collapsed="false">
      <c r="A10" s="17" t="s">
        <v>84</v>
      </c>
      <c r="B10" s="17" t="s">
        <v>85</v>
      </c>
      <c r="C10" s="17"/>
    </row>
    <row r="11" customFormat="false" ht="15" hidden="false" customHeight="false" outlineLevel="0" collapsed="false">
      <c r="A11" s="17" t="s">
        <v>86</v>
      </c>
      <c r="B11" s="17" t="s">
        <v>87</v>
      </c>
      <c r="C11" s="17"/>
    </row>
    <row r="12" customFormat="false" ht="15" hidden="false" customHeight="false" outlineLevel="0" collapsed="false">
      <c r="A12" s="17" t="s">
        <v>88</v>
      </c>
      <c r="B12" s="17" t="s">
        <v>89</v>
      </c>
      <c r="C12" s="17"/>
    </row>
    <row r="13" customFormat="false" ht="15" hidden="false" customHeight="false" outlineLevel="0" collapsed="false">
      <c r="A13" s="17" t="s">
        <v>90</v>
      </c>
      <c r="B13" s="17" t="s">
        <v>91</v>
      </c>
      <c r="C13" s="17"/>
    </row>
    <row r="14" customFormat="false" ht="15" hidden="false" customHeight="false" outlineLevel="0" collapsed="false">
      <c r="A14" s="17" t="s">
        <v>92</v>
      </c>
      <c r="B14" s="17" t="s">
        <v>93</v>
      </c>
      <c r="C14" s="17"/>
    </row>
    <row r="15" customFormat="false" ht="15" hidden="false" customHeight="false" outlineLevel="0" collapsed="false">
      <c r="A15" s="17" t="s">
        <v>94</v>
      </c>
      <c r="B15" s="17" t="s">
        <v>95</v>
      </c>
      <c r="C15" s="17"/>
    </row>
    <row r="16" customFormat="false" ht="15" hidden="false" customHeight="false" outlineLevel="0" collapsed="false">
      <c r="A16" s="17" t="s">
        <v>96</v>
      </c>
      <c r="B16" s="17" t="s">
        <v>97</v>
      </c>
      <c r="C16" s="17"/>
    </row>
    <row r="17" customFormat="false" ht="15" hidden="false" customHeight="false" outlineLevel="0" collapsed="false">
      <c r="A17" s="17" t="s">
        <v>98</v>
      </c>
      <c r="B17" s="17" t="s">
        <v>99</v>
      </c>
      <c r="C17" s="17"/>
    </row>
    <row r="18" customFormat="false" ht="15" hidden="false" customHeight="false" outlineLevel="0" collapsed="false">
      <c r="A18" s="17" t="s">
        <v>100</v>
      </c>
      <c r="B18" s="17" t="s">
        <v>101</v>
      </c>
      <c r="C18" s="17"/>
    </row>
    <row r="19" customFormat="false" ht="15" hidden="false" customHeight="false" outlineLevel="0" collapsed="false">
      <c r="A19" s="17" t="s">
        <v>102</v>
      </c>
      <c r="B19" s="17" t="s">
        <v>103</v>
      </c>
      <c r="C19" s="17"/>
    </row>
    <row r="20" customFormat="false" ht="15" hidden="false" customHeight="false" outlineLevel="0" collapsed="false">
      <c r="A20" s="17" t="s">
        <v>104</v>
      </c>
      <c r="B20" s="17" t="s">
        <v>105</v>
      </c>
      <c r="C20" s="17"/>
    </row>
    <row r="21" customFormat="false" ht="15" hidden="false" customHeight="false" outlineLevel="0" collapsed="false">
      <c r="A21" s="17" t="s">
        <v>106</v>
      </c>
      <c r="B21" s="17" t="s">
        <v>107</v>
      </c>
      <c r="C21" s="17"/>
    </row>
    <row r="22" customFormat="false" ht="15" hidden="false" customHeight="false" outlineLevel="0" collapsed="false">
      <c r="A22" s="17" t="s">
        <v>108</v>
      </c>
      <c r="B22" s="17" t="s">
        <v>109</v>
      </c>
      <c r="C22" s="17"/>
    </row>
    <row r="23" customFormat="false" ht="15" hidden="false" customHeight="false" outlineLevel="0" collapsed="false">
      <c r="A23" s="17" t="s">
        <v>110</v>
      </c>
      <c r="B23" s="17" t="s">
        <v>111</v>
      </c>
      <c r="C23" s="17"/>
    </row>
    <row r="24" customFormat="false" ht="15" hidden="false" customHeight="false" outlineLevel="0" collapsed="false">
      <c r="A24" s="17" t="s">
        <v>112</v>
      </c>
      <c r="B24" s="17" t="s">
        <v>113</v>
      </c>
      <c r="C24" s="17"/>
    </row>
    <row r="25" customFormat="false" ht="15" hidden="false" customHeight="false" outlineLevel="0" collapsed="false">
      <c r="A25" s="17" t="s">
        <v>114</v>
      </c>
      <c r="B25" s="17" t="s">
        <v>115</v>
      </c>
      <c r="C25" s="17"/>
    </row>
    <row r="26" customFormat="false" ht="15" hidden="false" customHeight="false" outlineLevel="0" collapsed="false">
      <c r="A26" s="17" t="s">
        <v>116</v>
      </c>
      <c r="B26" s="17" t="s">
        <v>117</v>
      </c>
      <c r="C26" s="17"/>
    </row>
    <row r="27" customFormat="false" ht="15" hidden="false" customHeight="false" outlineLevel="0" collapsed="false">
      <c r="A27" s="17" t="s">
        <v>118</v>
      </c>
      <c r="B27" s="17" t="s">
        <v>119</v>
      </c>
      <c r="C27" s="17"/>
    </row>
    <row r="28" customFormat="false" ht="15" hidden="false" customHeight="false" outlineLevel="0" collapsed="false">
      <c r="A28" s="17" t="s">
        <v>120</v>
      </c>
      <c r="B28" s="17" t="s">
        <v>121</v>
      </c>
      <c r="C28" s="17"/>
    </row>
    <row r="29" customFormat="false" ht="15" hidden="false" customHeight="false" outlineLevel="0" collapsed="false">
      <c r="A29" s="17" t="s">
        <v>122</v>
      </c>
      <c r="B29" s="17" t="s">
        <v>123</v>
      </c>
      <c r="C29" s="17"/>
    </row>
    <row r="30" customFormat="false" ht="15" hidden="false" customHeight="false" outlineLevel="0" collapsed="false">
      <c r="A30" s="17" t="s">
        <v>124</v>
      </c>
      <c r="B30" s="17" t="s">
        <v>125</v>
      </c>
      <c r="C30" s="17"/>
    </row>
    <row r="31" customFormat="false" ht="15" hidden="false" customHeight="false" outlineLevel="0" collapsed="false">
      <c r="A31" s="17" t="s">
        <v>126</v>
      </c>
      <c r="B31" s="17" t="s">
        <v>127</v>
      </c>
      <c r="C31" s="17"/>
    </row>
    <row r="32" customFormat="false" ht="15" hidden="false" customHeight="false" outlineLevel="0" collapsed="false">
      <c r="A32" s="17" t="s">
        <v>128</v>
      </c>
      <c r="B32" s="17" t="s">
        <v>129</v>
      </c>
      <c r="C32" s="17"/>
    </row>
    <row r="33" customFormat="false" ht="15" hidden="false" customHeight="false" outlineLevel="0" collapsed="false">
      <c r="A33" s="17" t="s">
        <v>130</v>
      </c>
      <c r="B33" s="17" t="s">
        <v>131</v>
      </c>
      <c r="C33" s="17"/>
    </row>
    <row r="34" customFormat="false" ht="15" hidden="false" customHeight="false" outlineLevel="0" collapsed="false">
      <c r="A34" s="17" t="s">
        <v>132</v>
      </c>
      <c r="B34" s="17" t="s">
        <v>133</v>
      </c>
      <c r="C34" s="17"/>
    </row>
    <row r="35" customFormat="false" ht="15" hidden="false" customHeight="false" outlineLevel="0" collapsed="false">
      <c r="A35" s="17" t="s">
        <v>134</v>
      </c>
      <c r="B35" s="17" t="s">
        <v>135</v>
      </c>
      <c r="C35" s="17"/>
    </row>
    <row r="36" customFormat="false" ht="15" hidden="false" customHeight="false" outlineLevel="0" collapsed="false">
      <c r="A36" s="17" t="s">
        <v>136</v>
      </c>
      <c r="B36" s="17" t="s">
        <v>137</v>
      </c>
      <c r="C36" s="17"/>
    </row>
    <row r="37" customFormat="false" ht="15" hidden="false" customHeight="false" outlineLevel="0" collapsed="false">
      <c r="A37" s="17" t="s">
        <v>138</v>
      </c>
      <c r="B37" s="17" t="s">
        <v>139</v>
      </c>
      <c r="C37" s="17"/>
    </row>
    <row r="38" customFormat="false" ht="15" hidden="false" customHeight="false" outlineLevel="0" collapsed="false">
      <c r="A38" s="17" t="s">
        <v>140</v>
      </c>
      <c r="B38" s="17" t="s">
        <v>141</v>
      </c>
      <c r="C38" s="17"/>
    </row>
    <row r="39" customFormat="false" ht="15" hidden="false" customHeight="false" outlineLevel="0" collapsed="false">
      <c r="A39" s="17" t="s">
        <v>142</v>
      </c>
      <c r="B39" s="17" t="s">
        <v>143</v>
      </c>
      <c r="C39" s="17"/>
    </row>
    <row r="40" customFormat="false" ht="15" hidden="false" customHeight="false" outlineLevel="0" collapsed="false">
      <c r="A40" s="17" t="s">
        <v>144</v>
      </c>
      <c r="B40" s="17" t="s">
        <v>145</v>
      </c>
      <c r="C40" s="17"/>
    </row>
    <row r="41" customFormat="false" ht="15" hidden="false" customHeight="false" outlineLevel="0" collapsed="false">
      <c r="A41" s="17" t="s">
        <v>146</v>
      </c>
      <c r="B41" s="17" t="s">
        <v>147</v>
      </c>
      <c r="C41" s="17"/>
    </row>
    <row r="42" customFormat="false" ht="15" hidden="false" customHeight="false" outlineLevel="0" collapsed="false">
      <c r="A42" s="17" t="s">
        <v>148</v>
      </c>
      <c r="B42" s="17" t="s">
        <v>149</v>
      </c>
      <c r="C42" s="17"/>
    </row>
    <row r="43" customFormat="false" ht="15" hidden="false" customHeight="false" outlineLevel="0" collapsed="false">
      <c r="A43" s="17" t="s">
        <v>150</v>
      </c>
      <c r="B43" s="17" t="s">
        <v>151</v>
      </c>
      <c r="C43" s="17"/>
    </row>
    <row r="44" customFormat="false" ht="15" hidden="false" customHeight="false" outlineLevel="0" collapsed="false">
      <c r="A44" s="17" t="s">
        <v>152</v>
      </c>
      <c r="B44" s="17" t="s">
        <v>153</v>
      </c>
      <c r="C44" s="17"/>
    </row>
    <row r="45" customFormat="false" ht="15" hidden="false" customHeight="false" outlineLevel="0" collapsed="false">
      <c r="A45" s="17" t="s">
        <v>154</v>
      </c>
      <c r="B45" s="17" t="s">
        <v>155</v>
      </c>
      <c r="C45" s="17"/>
    </row>
    <row r="46" customFormat="false" ht="15" hidden="false" customHeight="false" outlineLevel="0" collapsed="false">
      <c r="A46" s="17" t="s">
        <v>156</v>
      </c>
      <c r="B46" s="17" t="s">
        <v>157</v>
      </c>
      <c r="C46" s="17"/>
    </row>
    <row r="47" customFormat="false" ht="15" hidden="false" customHeight="false" outlineLevel="0" collapsed="false">
      <c r="A47" s="17" t="s">
        <v>158</v>
      </c>
      <c r="B47" s="17" t="s">
        <v>159</v>
      </c>
      <c r="C47" s="17"/>
    </row>
    <row r="48" customFormat="false" ht="15" hidden="false" customHeight="false" outlineLevel="0" collapsed="false">
      <c r="A48" s="17" t="s">
        <v>160</v>
      </c>
      <c r="B48" s="17" t="s">
        <v>161</v>
      </c>
      <c r="C48" s="17"/>
    </row>
    <row r="49" customFormat="false" ht="15" hidden="false" customHeight="false" outlineLevel="0" collapsed="false">
      <c r="A49" s="17" t="s">
        <v>162</v>
      </c>
      <c r="B49" s="17" t="s">
        <v>163</v>
      </c>
      <c r="C49" s="17"/>
    </row>
    <row r="50" customFormat="false" ht="15" hidden="false" customHeight="false" outlineLevel="0" collapsed="false">
      <c r="A50" s="17" t="s">
        <v>164</v>
      </c>
      <c r="B50" s="17" t="s">
        <v>165</v>
      </c>
      <c r="C50" s="17"/>
    </row>
    <row r="51" customFormat="false" ht="15" hidden="false" customHeight="false" outlineLevel="0" collapsed="false">
      <c r="A51" s="17" t="s">
        <v>166</v>
      </c>
      <c r="B51" s="17" t="s">
        <v>167</v>
      </c>
      <c r="C51" s="17"/>
    </row>
    <row r="52" customFormat="false" ht="15" hidden="false" customHeight="false" outlineLevel="0" collapsed="false">
      <c r="A52" s="17" t="s">
        <v>168</v>
      </c>
      <c r="B52" s="17" t="s">
        <v>169</v>
      </c>
      <c r="C52" s="17"/>
    </row>
    <row r="53" customFormat="false" ht="15" hidden="false" customHeight="false" outlineLevel="0" collapsed="false">
      <c r="A53" s="17" t="s">
        <v>170</v>
      </c>
      <c r="B53" s="17" t="s">
        <v>171</v>
      </c>
      <c r="C53" s="17"/>
    </row>
    <row r="54" customFormat="false" ht="15" hidden="false" customHeight="false" outlineLevel="0" collapsed="false">
      <c r="A54" s="17" t="s">
        <v>172</v>
      </c>
      <c r="B54" s="17" t="s">
        <v>173</v>
      </c>
      <c r="C54" s="17"/>
    </row>
    <row r="55" customFormat="false" ht="15" hidden="false" customHeight="false" outlineLevel="0" collapsed="false">
      <c r="A55" s="17" t="s">
        <v>174</v>
      </c>
      <c r="B55" s="17" t="s">
        <v>175</v>
      </c>
      <c r="C55" s="17"/>
    </row>
    <row r="56" customFormat="false" ht="15" hidden="false" customHeight="false" outlineLevel="0" collapsed="false">
      <c r="A56" s="17" t="s">
        <v>176</v>
      </c>
      <c r="B56" s="17" t="s">
        <v>177</v>
      </c>
      <c r="C56" s="17"/>
    </row>
    <row r="57" customFormat="false" ht="15" hidden="false" customHeight="false" outlineLevel="0" collapsed="false">
      <c r="A57" s="17" t="s">
        <v>178</v>
      </c>
      <c r="B57" s="17" t="s">
        <v>179</v>
      </c>
      <c r="C57" s="17"/>
    </row>
    <row r="58" customFormat="false" ht="15" hidden="false" customHeight="false" outlineLevel="0" collapsed="false">
      <c r="A58" s="17" t="s">
        <v>180</v>
      </c>
      <c r="B58" s="17" t="s">
        <v>181</v>
      </c>
      <c r="C58" s="17"/>
    </row>
    <row r="59" customFormat="false" ht="15" hidden="false" customHeight="false" outlineLevel="0" collapsed="false">
      <c r="A59" s="17" t="s">
        <v>182</v>
      </c>
      <c r="B59" s="17" t="s">
        <v>183</v>
      </c>
      <c r="C59" s="17"/>
    </row>
    <row r="60" customFormat="false" ht="15" hidden="false" customHeight="false" outlineLevel="0" collapsed="false">
      <c r="A60" s="17" t="s">
        <v>184</v>
      </c>
      <c r="B60" s="17" t="s">
        <v>185</v>
      </c>
      <c r="C60" s="17"/>
    </row>
    <row r="61" customFormat="false" ht="15" hidden="false" customHeight="false" outlineLevel="0" collapsed="false">
      <c r="A61" s="17" t="s">
        <v>186</v>
      </c>
      <c r="B61" s="17" t="s">
        <v>187</v>
      </c>
      <c r="C61" s="17"/>
    </row>
    <row r="62" customFormat="false" ht="15" hidden="false" customHeight="false" outlineLevel="0" collapsed="false">
      <c r="A62" s="17" t="s">
        <v>188</v>
      </c>
      <c r="B62" s="17" t="s">
        <v>189</v>
      </c>
      <c r="C62" s="17"/>
    </row>
    <row r="63" customFormat="false" ht="15" hidden="false" customHeight="false" outlineLevel="0" collapsed="false">
      <c r="A63" s="17" t="s">
        <v>190</v>
      </c>
      <c r="B63" s="17" t="s">
        <v>191</v>
      </c>
      <c r="C63" s="17"/>
    </row>
    <row r="64" customFormat="false" ht="15" hidden="false" customHeight="false" outlineLevel="0" collapsed="false">
      <c r="A64" s="17" t="s">
        <v>192</v>
      </c>
      <c r="B64" s="17" t="s">
        <v>193</v>
      </c>
      <c r="C64" s="17"/>
    </row>
    <row r="65" customFormat="false" ht="15" hidden="false" customHeight="false" outlineLevel="0" collapsed="false">
      <c r="A65" s="17" t="s">
        <v>194</v>
      </c>
      <c r="B65" s="17" t="s">
        <v>195</v>
      </c>
      <c r="C65" s="17"/>
    </row>
    <row r="66" customFormat="false" ht="15" hidden="false" customHeight="false" outlineLevel="0" collapsed="false">
      <c r="A66" s="17" t="s">
        <v>196</v>
      </c>
      <c r="B66" s="17" t="s">
        <v>197</v>
      </c>
      <c r="C66" s="17"/>
    </row>
    <row r="67" customFormat="false" ht="15" hidden="false" customHeight="false" outlineLevel="0" collapsed="false">
      <c r="A67" s="17" t="s">
        <v>198</v>
      </c>
      <c r="B67" s="17" t="s">
        <v>199</v>
      </c>
      <c r="C67" s="17"/>
    </row>
    <row r="68" customFormat="false" ht="15" hidden="false" customHeight="false" outlineLevel="0" collapsed="false">
      <c r="A68" s="17" t="s">
        <v>200</v>
      </c>
      <c r="B68" s="17" t="s">
        <v>201</v>
      </c>
      <c r="C68" s="17"/>
    </row>
    <row r="69" customFormat="false" ht="15" hidden="false" customHeight="false" outlineLevel="0" collapsed="false">
      <c r="A69" s="17" t="s">
        <v>202</v>
      </c>
      <c r="B69" s="17" t="s">
        <v>203</v>
      </c>
      <c r="C69" s="17"/>
    </row>
    <row r="70" customFormat="false" ht="15" hidden="false" customHeight="false" outlineLevel="0" collapsed="false">
      <c r="A70" s="17" t="s">
        <v>204</v>
      </c>
      <c r="B70" s="17" t="s">
        <v>205</v>
      </c>
      <c r="C70" s="17"/>
    </row>
    <row r="71" customFormat="false" ht="15" hidden="false" customHeight="false" outlineLevel="0" collapsed="false">
      <c r="A71" s="17" t="s">
        <v>206</v>
      </c>
      <c r="B71" s="17" t="s">
        <v>207</v>
      </c>
      <c r="C71" s="17"/>
    </row>
    <row r="72" customFormat="false" ht="15" hidden="false" customHeight="false" outlineLevel="0" collapsed="false">
      <c r="A72" s="17" t="s">
        <v>208</v>
      </c>
      <c r="B72" s="17" t="s">
        <v>209</v>
      </c>
      <c r="C72" s="17"/>
    </row>
    <row r="73" customFormat="false" ht="15" hidden="false" customHeight="false" outlineLevel="0" collapsed="false">
      <c r="A73" s="17" t="s">
        <v>210</v>
      </c>
      <c r="B73" s="17" t="s">
        <v>211</v>
      </c>
      <c r="C73" s="17"/>
    </row>
    <row r="74" customFormat="false" ht="15" hidden="false" customHeight="false" outlineLevel="0" collapsed="false">
      <c r="A74" s="17" t="s">
        <v>212</v>
      </c>
      <c r="B74" s="17" t="s">
        <v>213</v>
      </c>
      <c r="C74" s="17"/>
    </row>
    <row r="75" customFormat="false" ht="15" hidden="false" customHeight="false" outlineLevel="0" collapsed="false">
      <c r="A75" s="17" t="s">
        <v>214</v>
      </c>
      <c r="B75" s="17" t="s">
        <v>215</v>
      </c>
      <c r="C75" s="17"/>
    </row>
    <row r="76" customFormat="false" ht="15" hidden="false" customHeight="false" outlineLevel="0" collapsed="false">
      <c r="A76" s="17" t="s">
        <v>216</v>
      </c>
      <c r="B76" s="17" t="s">
        <v>217</v>
      </c>
      <c r="C76" s="17"/>
    </row>
    <row r="77" customFormat="false" ht="15" hidden="false" customHeight="false" outlineLevel="0" collapsed="false">
      <c r="A77" s="17" t="s">
        <v>218</v>
      </c>
      <c r="B77" s="17" t="s">
        <v>219</v>
      </c>
      <c r="C77" s="17"/>
    </row>
    <row r="78" customFormat="false" ht="15" hidden="false" customHeight="false" outlineLevel="0" collapsed="false">
      <c r="A78" s="17" t="s">
        <v>220</v>
      </c>
      <c r="B78" s="17" t="s">
        <v>221</v>
      </c>
      <c r="C78" s="17"/>
    </row>
    <row r="79" customFormat="false" ht="15" hidden="false" customHeight="false" outlineLevel="0" collapsed="false">
      <c r="A79" s="17" t="s">
        <v>222</v>
      </c>
      <c r="B79" s="17" t="s">
        <v>223</v>
      </c>
      <c r="C79" s="17"/>
    </row>
    <row r="80" customFormat="false" ht="15" hidden="false" customHeight="false" outlineLevel="0" collapsed="false">
      <c r="A80" s="17" t="s">
        <v>224</v>
      </c>
      <c r="B80" s="17" t="s">
        <v>225</v>
      </c>
      <c r="C80" s="17"/>
    </row>
    <row r="81" customFormat="false" ht="15" hidden="false" customHeight="false" outlineLevel="0" collapsed="false">
      <c r="A81" s="17" t="s">
        <v>226</v>
      </c>
      <c r="B81" s="17" t="s">
        <v>227</v>
      </c>
      <c r="C81" s="17"/>
    </row>
    <row r="82" customFormat="false" ht="15" hidden="false" customHeight="false" outlineLevel="0" collapsed="false">
      <c r="A82" s="17" t="s">
        <v>228</v>
      </c>
      <c r="B82" s="17" t="s">
        <v>229</v>
      </c>
      <c r="C82" s="17"/>
    </row>
    <row r="83" customFormat="false" ht="15" hidden="false" customHeight="false" outlineLevel="0" collapsed="false">
      <c r="A83" s="17" t="s">
        <v>230</v>
      </c>
      <c r="B83" s="17" t="s">
        <v>231</v>
      </c>
      <c r="C83" s="17"/>
    </row>
    <row r="84" customFormat="false" ht="15" hidden="false" customHeight="false" outlineLevel="0" collapsed="false">
      <c r="A84" s="17" t="s">
        <v>232</v>
      </c>
      <c r="B84" s="17" t="s">
        <v>233</v>
      </c>
      <c r="C84" s="17"/>
    </row>
    <row r="85" customFormat="false" ht="15" hidden="false" customHeight="false" outlineLevel="0" collapsed="false">
      <c r="A85" s="17" t="s">
        <v>234</v>
      </c>
      <c r="B85" s="17" t="s">
        <v>235</v>
      </c>
      <c r="C85" s="17"/>
    </row>
    <row r="86" customFormat="false" ht="15" hidden="false" customHeight="false" outlineLevel="0" collapsed="false">
      <c r="A86" s="17" t="s">
        <v>236</v>
      </c>
      <c r="B86" s="17" t="s">
        <v>237</v>
      </c>
      <c r="C86" s="17"/>
    </row>
    <row r="87" customFormat="false" ht="15" hidden="false" customHeight="false" outlineLevel="0" collapsed="false">
      <c r="A87" s="17" t="s">
        <v>238</v>
      </c>
      <c r="B87" s="17" t="s">
        <v>239</v>
      </c>
      <c r="C87" s="17"/>
    </row>
    <row r="88" customFormat="false" ht="15" hidden="false" customHeight="false" outlineLevel="0" collapsed="false">
      <c r="A88" s="17" t="s">
        <v>240</v>
      </c>
      <c r="B88" s="17" t="s">
        <v>241</v>
      </c>
      <c r="C88" s="17"/>
    </row>
    <row r="89" customFormat="false" ht="15" hidden="false" customHeight="false" outlineLevel="0" collapsed="false">
      <c r="A89" s="17" t="s">
        <v>242</v>
      </c>
      <c r="B89" s="17" t="s">
        <v>243</v>
      </c>
      <c r="C89" s="17"/>
    </row>
    <row r="90" customFormat="false" ht="15" hidden="false" customHeight="false" outlineLevel="0" collapsed="false">
      <c r="A90" s="17" t="s">
        <v>244</v>
      </c>
      <c r="B90" s="17" t="s">
        <v>245</v>
      </c>
      <c r="C90" s="17"/>
    </row>
    <row r="91" customFormat="false" ht="15" hidden="false" customHeight="false" outlineLevel="0" collapsed="false">
      <c r="A91" s="17" t="s">
        <v>246</v>
      </c>
      <c r="B91" s="17" t="s">
        <v>247</v>
      </c>
      <c r="C91" s="17"/>
    </row>
    <row r="92" customFormat="false" ht="15" hidden="false" customHeight="false" outlineLevel="0" collapsed="false">
      <c r="A92" s="17" t="s">
        <v>248</v>
      </c>
      <c r="B92" s="17" t="s">
        <v>249</v>
      </c>
      <c r="C92" s="17"/>
    </row>
    <row r="93" customFormat="false" ht="15" hidden="false" customHeight="false" outlineLevel="0" collapsed="false">
      <c r="A93" s="17" t="s">
        <v>250</v>
      </c>
      <c r="B93" s="17" t="s">
        <v>251</v>
      </c>
      <c r="C93" s="17"/>
    </row>
    <row r="94" customFormat="false" ht="15" hidden="false" customHeight="false" outlineLevel="0" collapsed="false">
      <c r="A94" s="17" t="s">
        <v>252</v>
      </c>
      <c r="B94" s="17" t="s">
        <v>253</v>
      </c>
      <c r="C94" s="17"/>
    </row>
    <row r="95" customFormat="false" ht="15" hidden="false" customHeight="false" outlineLevel="0" collapsed="false">
      <c r="A95" s="17" t="s">
        <v>254</v>
      </c>
      <c r="B95" s="17" t="s">
        <v>255</v>
      </c>
      <c r="C95" s="17"/>
    </row>
    <row r="96" customFormat="false" ht="15" hidden="false" customHeight="false" outlineLevel="0" collapsed="false">
      <c r="A96" s="17" t="s">
        <v>256</v>
      </c>
      <c r="B96" s="17" t="s">
        <v>257</v>
      </c>
      <c r="C96" s="17"/>
    </row>
    <row r="97" customFormat="false" ht="15" hidden="false" customHeight="false" outlineLevel="0" collapsed="false">
      <c r="A97" s="17" t="s">
        <v>258</v>
      </c>
      <c r="B97" s="17" t="s">
        <v>259</v>
      </c>
      <c r="C97" s="17"/>
    </row>
    <row r="98" customFormat="false" ht="15" hidden="false" customHeight="false" outlineLevel="0" collapsed="false">
      <c r="A98" s="17" t="s">
        <v>260</v>
      </c>
      <c r="B98" s="17" t="s">
        <v>261</v>
      </c>
      <c r="C98" s="17"/>
    </row>
    <row r="99" customFormat="false" ht="15" hidden="false" customHeight="false" outlineLevel="0" collapsed="false">
      <c r="A99" s="17" t="s">
        <v>262</v>
      </c>
      <c r="B99" s="17" t="s">
        <v>263</v>
      </c>
      <c r="C99" s="17"/>
    </row>
    <row r="100" customFormat="false" ht="15" hidden="false" customHeight="false" outlineLevel="0" collapsed="false">
      <c r="A100" s="17" t="s">
        <v>264</v>
      </c>
      <c r="B100" s="17" t="s">
        <v>265</v>
      </c>
      <c r="C100" s="17"/>
    </row>
    <row r="101" customFormat="false" ht="15" hidden="false" customHeight="false" outlineLevel="0" collapsed="false">
      <c r="A101" s="17" t="s">
        <v>266</v>
      </c>
      <c r="B101" s="17" t="s">
        <v>267</v>
      </c>
      <c r="C101" s="17"/>
    </row>
    <row r="102" customFormat="false" ht="15" hidden="false" customHeight="false" outlineLevel="0" collapsed="false">
      <c r="A102" s="17" t="s">
        <v>268</v>
      </c>
      <c r="B102" s="17" t="s">
        <v>269</v>
      </c>
      <c r="C102" s="17"/>
    </row>
    <row r="103" customFormat="false" ht="15" hidden="false" customHeight="false" outlineLevel="0" collapsed="false">
      <c r="A103" s="17" t="s">
        <v>270</v>
      </c>
      <c r="B103" s="17" t="s">
        <v>271</v>
      </c>
      <c r="C103" s="17"/>
    </row>
    <row r="104" customFormat="false" ht="15" hidden="false" customHeight="false" outlineLevel="0" collapsed="false">
      <c r="A104" s="17" t="s">
        <v>272</v>
      </c>
      <c r="B104" s="17" t="s">
        <v>273</v>
      </c>
      <c r="C104" s="17"/>
    </row>
    <row r="105" customFormat="false" ht="15" hidden="false" customHeight="false" outlineLevel="0" collapsed="false">
      <c r="A105" s="17" t="s">
        <v>274</v>
      </c>
      <c r="B105" s="17" t="s">
        <v>275</v>
      </c>
      <c r="C105" s="17"/>
    </row>
    <row r="106" customFormat="false" ht="15" hidden="false" customHeight="false" outlineLevel="0" collapsed="false">
      <c r="A106" s="17" t="s">
        <v>276</v>
      </c>
      <c r="B106" s="17" t="s">
        <v>277</v>
      </c>
      <c r="C106" s="17"/>
    </row>
    <row r="107" customFormat="false" ht="15" hidden="false" customHeight="false" outlineLevel="0" collapsed="false">
      <c r="A107" s="17" t="s">
        <v>278</v>
      </c>
      <c r="B107" s="17" t="s">
        <v>279</v>
      </c>
      <c r="C107" s="17"/>
    </row>
    <row r="108" customFormat="false" ht="15" hidden="false" customHeight="false" outlineLevel="0" collapsed="false">
      <c r="A108" s="17" t="s">
        <v>280</v>
      </c>
      <c r="B108" s="17" t="s">
        <v>281</v>
      </c>
      <c r="C108" s="17"/>
    </row>
    <row r="109" customFormat="false" ht="15" hidden="false" customHeight="false" outlineLevel="0" collapsed="false">
      <c r="A109" s="17" t="s">
        <v>282</v>
      </c>
      <c r="B109" s="17" t="s">
        <v>283</v>
      </c>
      <c r="C109" s="17"/>
    </row>
    <row r="110" customFormat="false" ht="15" hidden="false" customHeight="false" outlineLevel="0" collapsed="false">
      <c r="A110" s="17" t="s">
        <v>284</v>
      </c>
      <c r="B110" s="17" t="s">
        <v>285</v>
      </c>
      <c r="C110" s="17"/>
    </row>
    <row r="111" customFormat="false" ht="15" hidden="false" customHeight="false" outlineLevel="0" collapsed="false">
      <c r="A111" s="17" t="s">
        <v>286</v>
      </c>
      <c r="B111" s="17" t="s">
        <v>287</v>
      </c>
      <c r="C111" s="17"/>
    </row>
    <row r="112" customFormat="false" ht="15" hidden="false" customHeight="false" outlineLevel="0" collapsed="false">
      <c r="A112" s="17" t="s">
        <v>288</v>
      </c>
      <c r="B112" s="17" t="s">
        <v>289</v>
      </c>
      <c r="C112" s="17"/>
    </row>
    <row r="113" customFormat="false" ht="15" hidden="false" customHeight="false" outlineLevel="0" collapsed="false">
      <c r="A113" s="17" t="s">
        <v>290</v>
      </c>
      <c r="B113" s="17" t="s">
        <v>291</v>
      </c>
      <c r="C113" s="17"/>
    </row>
    <row r="114" customFormat="false" ht="15" hidden="false" customHeight="false" outlineLevel="0" collapsed="false">
      <c r="A114" s="17" t="s">
        <v>292</v>
      </c>
      <c r="B114" s="17" t="s">
        <v>293</v>
      </c>
      <c r="C114" s="17"/>
    </row>
    <row r="115" customFormat="false" ht="15" hidden="false" customHeight="false" outlineLevel="0" collapsed="false">
      <c r="A115" s="17" t="s">
        <v>294</v>
      </c>
      <c r="B115" s="17" t="s">
        <v>295</v>
      </c>
      <c r="C115" s="17"/>
    </row>
    <row r="116" customFormat="false" ht="15" hidden="false" customHeight="false" outlineLevel="0" collapsed="false">
      <c r="A116" s="17" t="s">
        <v>296</v>
      </c>
      <c r="B116" s="17" t="s">
        <v>297</v>
      </c>
      <c r="C116" s="17"/>
    </row>
    <row r="117" customFormat="false" ht="15" hidden="false" customHeight="false" outlineLevel="0" collapsed="false">
      <c r="A117" s="17" t="s">
        <v>298</v>
      </c>
      <c r="B117" s="17" t="s">
        <v>299</v>
      </c>
      <c r="C117" s="17"/>
    </row>
    <row r="118" customFormat="false" ht="15" hidden="false" customHeight="false" outlineLevel="0" collapsed="false">
      <c r="A118" s="17" t="s">
        <v>300</v>
      </c>
      <c r="B118" s="17" t="s">
        <v>301</v>
      </c>
      <c r="C118" s="17"/>
    </row>
    <row r="119" customFormat="false" ht="15" hidden="false" customHeight="false" outlineLevel="0" collapsed="false">
      <c r="A119" s="17" t="s">
        <v>302</v>
      </c>
      <c r="B119" s="17" t="s">
        <v>303</v>
      </c>
      <c r="C119" s="17"/>
    </row>
    <row r="120" customFormat="false" ht="15" hidden="false" customHeight="false" outlineLevel="0" collapsed="false">
      <c r="A120" s="17" t="s">
        <v>304</v>
      </c>
      <c r="B120" s="17" t="s">
        <v>305</v>
      </c>
      <c r="C120" s="17"/>
    </row>
    <row r="121" customFormat="false" ht="15" hidden="false" customHeight="false" outlineLevel="0" collapsed="false">
      <c r="A121" s="17" t="s">
        <v>306</v>
      </c>
      <c r="B121" s="17" t="s">
        <v>307</v>
      </c>
      <c r="C121" s="17"/>
    </row>
    <row r="122" customFormat="false" ht="15" hidden="false" customHeight="false" outlineLevel="0" collapsed="false">
      <c r="A122" s="17" t="s">
        <v>308</v>
      </c>
      <c r="B122" s="17" t="s">
        <v>309</v>
      </c>
      <c r="C122" s="17"/>
    </row>
    <row r="123" customFormat="false" ht="15" hidden="false" customHeight="false" outlineLevel="0" collapsed="false">
      <c r="A123" s="17" t="s">
        <v>310</v>
      </c>
      <c r="B123" s="17" t="s">
        <v>311</v>
      </c>
      <c r="C123" s="17"/>
    </row>
    <row r="124" customFormat="false" ht="15" hidden="false" customHeight="false" outlineLevel="0" collapsed="false">
      <c r="A124" s="17" t="s">
        <v>312</v>
      </c>
      <c r="B124" s="17" t="s">
        <v>313</v>
      </c>
      <c r="C124" s="17"/>
    </row>
    <row r="125" customFormat="false" ht="15" hidden="false" customHeight="false" outlineLevel="0" collapsed="false">
      <c r="A125" s="17" t="s">
        <v>314</v>
      </c>
      <c r="B125" s="17" t="s">
        <v>315</v>
      </c>
      <c r="C125" s="17"/>
    </row>
    <row r="126" customFormat="false" ht="15" hidden="false" customHeight="false" outlineLevel="0" collapsed="false">
      <c r="A126" s="17" t="s">
        <v>316</v>
      </c>
      <c r="B126" s="17" t="s">
        <v>317</v>
      </c>
      <c r="C126" s="17"/>
    </row>
    <row r="127" customFormat="false" ht="15" hidden="false" customHeight="false" outlineLevel="0" collapsed="false">
      <c r="A127" s="17" t="s">
        <v>318</v>
      </c>
      <c r="B127" s="17" t="s">
        <v>319</v>
      </c>
      <c r="C127" s="17"/>
    </row>
    <row r="128" customFormat="false" ht="15" hidden="false" customHeight="false" outlineLevel="0" collapsed="false">
      <c r="A128" s="17" t="s">
        <v>320</v>
      </c>
      <c r="B128" s="17" t="s">
        <v>321</v>
      </c>
      <c r="C128" s="17"/>
    </row>
    <row r="129" customFormat="false" ht="15" hidden="false" customHeight="false" outlineLevel="0" collapsed="false">
      <c r="A129" s="17" t="s">
        <v>322</v>
      </c>
      <c r="B129" s="17" t="s">
        <v>323</v>
      </c>
      <c r="C129" s="17"/>
    </row>
    <row r="130" customFormat="false" ht="15" hidden="false" customHeight="false" outlineLevel="0" collapsed="false">
      <c r="A130" s="17" t="s">
        <v>324</v>
      </c>
      <c r="B130" s="17" t="s">
        <v>325</v>
      </c>
      <c r="C130" s="17"/>
    </row>
    <row r="131" customFormat="false" ht="15" hidden="false" customHeight="false" outlineLevel="0" collapsed="false">
      <c r="A131" s="17" t="s">
        <v>326</v>
      </c>
      <c r="B131" s="17" t="s">
        <v>327</v>
      </c>
      <c r="C131" s="17"/>
    </row>
    <row r="132" customFormat="false" ht="15" hidden="false" customHeight="false" outlineLevel="0" collapsed="false">
      <c r="A132" s="17" t="s">
        <v>328</v>
      </c>
      <c r="B132" s="17" t="s">
        <v>329</v>
      </c>
      <c r="C132" s="17"/>
    </row>
    <row r="133" customFormat="false" ht="15" hidden="false" customHeight="false" outlineLevel="0" collapsed="false">
      <c r="A133" s="17" t="s">
        <v>330</v>
      </c>
      <c r="B133" s="17" t="s">
        <v>331</v>
      </c>
      <c r="C133" s="17"/>
    </row>
    <row r="134" customFormat="false" ht="15" hidden="false" customHeight="false" outlineLevel="0" collapsed="false">
      <c r="A134" s="17" t="s">
        <v>332</v>
      </c>
      <c r="B134" s="17" t="s">
        <v>333</v>
      </c>
      <c r="C134" s="17"/>
    </row>
    <row r="135" customFormat="false" ht="15" hidden="false" customHeight="false" outlineLevel="0" collapsed="false">
      <c r="A135" s="17" t="s">
        <v>334</v>
      </c>
      <c r="B135" s="17" t="s">
        <v>335</v>
      </c>
      <c r="C135" s="17"/>
    </row>
    <row r="136" customFormat="false" ht="15" hidden="false" customHeight="false" outlineLevel="0" collapsed="false">
      <c r="A136" s="17" t="s">
        <v>336</v>
      </c>
      <c r="B136" s="17" t="s">
        <v>337</v>
      </c>
      <c r="C136" s="17"/>
    </row>
    <row r="137" customFormat="false" ht="15" hidden="false" customHeight="false" outlineLevel="0" collapsed="false">
      <c r="A137" s="17" t="s">
        <v>338</v>
      </c>
      <c r="B137" s="17" t="s">
        <v>339</v>
      </c>
      <c r="C137" s="17"/>
    </row>
    <row r="138" customFormat="false" ht="15" hidden="false" customHeight="false" outlineLevel="0" collapsed="false">
      <c r="A138" s="17" t="s">
        <v>340</v>
      </c>
      <c r="B138" s="17" t="s">
        <v>341</v>
      </c>
      <c r="C138" s="17"/>
    </row>
    <row r="139" customFormat="false" ht="15" hidden="false" customHeight="false" outlineLevel="0" collapsed="false">
      <c r="A139" s="17" t="s">
        <v>342</v>
      </c>
      <c r="B139" s="17" t="s">
        <v>343</v>
      </c>
      <c r="C139" s="17"/>
    </row>
    <row r="140" customFormat="false" ht="15" hidden="false" customHeight="false" outlineLevel="0" collapsed="false">
      <c r="A140" s="17" t="s">
        <v>344</v>
      </c>
      <c r="B140" s="17" t="s">
        <v>345</v>
      </c>
      <c r="C140" s="17"/>
    </row>
    <row r="141" customFormat="false" ht="15" hidden="false" customHeight="false" outlineLevel="0" collapsed="false">
      <c r="A141" s="17" t="s">
        <v>346</v>
      </c>
      <c r="B141" s="17" t="s">
        <v>347</v>
      </c>
      <c r="C141" s="17"/>
    </row>
    <row r="142" customFormat="false" ht="15" hidden="false" customHeight="false" outlineLevel="0" collapsed="false">
      <c r="A142" s="17" t="s">
        <v>348</v>
      </c>
      <c r="B142" s="17" t="s">
        <v>349</v>
      </c>
      <c r="C142" s="17"/>
    </row>
    <row r="143" customFormat="false" ht="15" hidden="false" customHeight="false" outlineLevel="0" collapsed="false">
      <c r="A143" s="17" t="s">
        <v>350</v>
      </c>
      <c r="B143" s="17" t="s">
        <v>351</v>
      </c>
      <c r="C143" s="17"/>
    </row>
    <row r="144" customFormat="false" ht="15" hidden="false" customHeight="false" outlineLevel="0" collapsed="false">
      <c r="A144" s="17" t="s">
        <v>352</v>
      </c>
      <c r="B144" s="17" t="s">
        <v>353</v>
      </c>
      <c r="C144" s="17"/>
    </row>
    <row r="145" customFormat="false" ht="15" hidden="false" customHeight="false" outlineLevel="0" collapsed="false">
      <c r="A145" s="17" t="s">
        <v>354</v>
      </c>
      <c r="B145" s="17" t="s">
        <v>355</v>
      </c>
      <c r="C145" s="17"/>
    </row>
    <row r="146" customFormat="false" ht="15" hidden="false" customHeight="false" outlineLevel="0" collapsed="false">
      <c r="A146" s="17" t="s">
        <v>356</v>
      </c>
      <c r="B146" s="17" t="s">
        <v>357</v>
      </c>
      <c r="C146" s="17"/>
    </row>
    <row r="147" customFormat="false" ht="15" hidden="false" customHeight="false" outlineLevel="0" collapsed="false">
      <c r="A147" s="17" t="s">
        <v>358</v>
      </c>
      <c r="B147" s="17" t="s">
        <v>359</v>
      </c>
      <c r="C147" s="17"/>
    </row>
    <row r="148" customFormat="false" ht="15" hidden="false" customHeight="false" outlineLevel="0" collapsed="false">
      <c r="A148" s="17" t="s">
        <v>360</v>
      </c>
      <c r="B148" s="17" t="s">
        <v>361</v>
      </c>
      <c r="C148" s="17"/>
    </row>
    <row r="149" customFormat="false" ht="15" hidden="false" customHeight="false" outlineLevel="0" collapsed="false">
      <c r="A149" s="17" t="s">
        <v>362</v>
      </c>
      <c r="B149" s="17" t="s">
        <v>363</v>
      </c>
      <c r="C149" s="17"/>
    </row>
    <row r="150" customFormat="false" ht="15" hidden="false" customHeight="false" outlineLevel="0" collapsed="false">
      <c r="A150" s="17" t="s">
        <v>364</v>
      </c>
      <c r="B150" s="17" t="s">
        <v>365</v>
      </c>
      <c r="C150" s="17"/>
    </row>
    <row r="151" customFormat="false" ht="15" hidden="false" customHeight="false" outlineLevel="0" collapsed="false">
      <c r="A151" s="17" t="s">
        <v>366</v>
      </c>
      <c r="B151" s="17" t="s">
        <v>367</v>
      </c>
      <c r="C151" s="17"/>
    </row>
    <row r="152" customFormat="false" ht="15" hidden="false" customHeight="false" outlineLevel="0" collapsed="false">
      <c r="A152" s="17" t="s">
        <v>368</v>
      </c>
      <c r="B152" s="17" t="s">
        <v>369</v>
      </c>
      <c r="C152" s="17"/>
    </row>
    <row r="153" customFormat="false" ht="15" hidden="false" customHeight="false" outlineLevel="0" collapsed="false">
      <c r="A153" s="17" t="s">
        <v>370</v>
      </c>
      <c r="B153" s="17" t="s">
        <v>371</v>
      </c>
      <c r="C153" s="17"/>
    </row>
    <row r="154" customFormat="false" ht="15" hidden="false" customHeight="false" outlineLevel="0" collapsed="false">
      <c r="A154" s="17" t="s">
        <v>372</v>
      </c>
      <c r="B154" s="17" t="s">
        <v>373</v>
      </c>
      <c r="C154" s="17"/>
    </row>
    <row r="155" customFormat="false" ht="15" hidden="false" customHeight="false" outlineLevel="0" collapsed="false">
      <c r="A155" s="17" t="s">
        <v>374</v>
      </c>
      <c r="B155" s="17" t="s">
        <v>375</v>
      </c>
      <c r="C155" s="17"/>
    </row>
    <row r="156" customFormat="false" ht="15" hidden="false" customHeight="false" outlineLevel="0" collapsed="false">
      <c r="A156" s="17" t="s">
        <v>376</v>
      </c>
      <c r="B156" s="17" t="s">
        <v>377</v>
      </c>
      <c r="C156" s="17"/>
    </row>
    <row r="157" customFormat="false" ht="15" hidden="false" customHeight="false" outlineLevel="0" collapsed="false">
      <c r="A157" s="17" t="s">
        <v>378</v>
      </c>
      <c r="B157" s="17" t="s">
        <v>379</v>
      </c>
      <c r="C157" s="17"/>
    </row>
    <row r="158" customFormat="false" ht="15" hidden="false" customHeight="false" outlineLevel="0" collapsed="false">
      <c r="A158" s="17" t="s">
        <v>380</v>
      </c>
      <c r="B158" s="17" t="s">
        <v>381</v>
      </c>
      <c r="C158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0" activeCellId="0" sqref="C16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12.15"/>
  </cols>
  <sheetData>
    <row r="1" customFormat="false" ht="15" hidden="false" customHeight="false" outlineLevel="0" collapsed="false">
      <c r="A1" s="35" t="s">
        <v>771</v>
      </c>
      <c r="B1" s="35" t="s">
        <v>772</v>
      </c>
    </row>
    <row r="2" customFormat="false" ht="15" hidden="false" customHeight="false" outlineLevel="0" collapsed="false">
      <c r="A2" s="35" t="s">
        <v>70</v>
      </c>
      <c r="B2" s="35"/>
    </row>
    <row r="3" customFormat="false" ht="15" hidden="false" customHeight="false" outlineLevel="0" collapsed="false">
      <c r="A3" s="35" t="s">
        <v>72</v>
      </c>
      <c r="B3" s="35"/>
    </row>
    <row r="4" customFormat="false" ht="15" hidden="false" customHeight="false" outlineLevel="0" collapsed="false">
      <c r="A4" s="35" t="s">
        <v>74</v>
      </c>
      <c r="B4" s="35"/>
    </row>
    <row r="5" customFormat="false" ht="15" hidden="false" customHeight="false" outlineLevel="0" collapsed="false">
      <c r="A5" s="35" t="s">
        <v>76</v>
      </c>
      <c r="B5" s="35"/>
    </row>
    <row r="6" customFormat="false" ht="15" hidden="false" customHeight="false" outlineLevel="0" collapsed="false">
      <c r="A6" s="35" t="s">
        <v>78</v>
      </c>
      <c r="B6" s="35"/>
    </row>
    <row r="7" customFormat="false" ht="15" hidden="false" customHeight="false" outlineLevel="0" collapsed="false">
      <c r="A7" s="35" t="s">
        <v>80</v>
      </c>
      <c r="B7" s="35"/>
    </row>
    <row r="8" customFormat="false" ht="15" hidden="false" customHeight="false" outlineLevel="0" collapsed="false">
      <c r="A8" s="35" t="s">
        <v>82</v>
      </c>
      <c r="B8" s="35"/>
    </row>
    <row r="9" customFormat="false" ht="15" hidden="false" customHeight="false" outlineLevel="0" collapsed="false">
      <c r="A9" s="35" t="s">
        <v>84</v>
      </c>
      <c r="B9" s="35"/>
    </row>
    <row r="10" customFormat="false" ht="15" hidden="false" customHeight="false" outlineLevel="0" collapsed="false">
      <c r="A10" s="35" t="s">
        <v>86</v>
      </c>
      <c r="B10" s="35"/>
    </row>
    <row r="11" customFormat="false" ht="15" hidden="false" customHeight="false" outlineLevel="0" collapsed="false">
      <c r="A11" s="35" t="s">
        <v>88</v>
      </c>
      <c r="B11" s="35"/>
    </row>
    <row r="12" customFormat="false" ht="15" hidden="false" customHeight="false" outlineLevel="0" collapsed="false">
      <c r="A12" s="35" t="s">
        <v>90</v>
      </c>
      <c r="B12" s="35"/>
    </row>
    <row r="13" customFormat="false" ht="15" hidden="false" customHeight="false" outlineLevel="0" collapsed="false">
      <c r="A13" s="35" t="s">
        <v>92</v>
      </c>
      <c r="B13" s="35"/>
    </row>
    <row r="14" customFormat="false" ht="15" hidden="false" customHeight="false" outlineLevel="0" collapsed="false">
      <c r="A14" s="35" t="s">
        <v>94</v>
      </c>
      <c r="B14" s="35"/>
    </row>
    <row r="15" customFormat="false" ht="15" hidden="false" customHeight="false" outlineLevel="0" collapsed="false">
      <c r="A15" s="35" t="s">
        <v>96</v>
      </c>
      <c r="B15" s="35"/>
    </row>
    <row r="16" customFormat="false" ht="15" hidden="false" customHeight="false" outlineLevel="0" collapsed="false">
      <c r="A16" s="35" t="s">
        <v>98</v>
      </c>
      <c r="B16" s="35"/>
    </row>
    <row r="17" customFormat="false" ht="15" hidden="false" customHeight="false" outlineLevel="0" collapsed="false">
      <c r="A17" s="35" t="s">
        <v>100</v>
      </c>
      <c r="B17" s="35"/>
    </row>
    <row r="18" customFormat="false" ht="15" hidden="false" customHeight="false" outlineLevel="0" collapsed="false">
      <c r="A18" s="35" t="s">
        <v>102</v>
      </c>
      <c r="B18" s="35"/>
    </row>
    <row r="19" customFormat="false" ht="15" hidden="false" customHeight="false" outlineLevel="0" collapsed="false">
      <c r="A19" s="35" t="s">
        <v>104</v>
      </c>
      <c r="B19" s="35"/>
    </row>
    <row r="20" customFormat="false" ht="15" hidden="false" customHeight="false" outlineLevel="0" collapsed="false">
      <c r="A20" s="35" t="s">
        <v>106</v>
      </c>
      <c r="B20" s="35"/>
    </row>
    <row r="21" customFormat="false" ht="15" hidden="false" customHeight="false" outlineLevel="0" collapsed="false">
      <c r="A21" s="35" t="s">
        <v>108</v>
      </c>
      <c r="B21" s="35"/>
    </row>
    <row r="22" customFormat="false" ht="15" hidden="false" customHeight="false" outlineLevel="0" collapsed="false">
      <c r="A22" s="35" t="s">
        <v>110</v>
      </c>
      <c r="B22" s="35"/>
    </row>
    <row r="23" customFormat="false" ht="15" hidden="false" customHeight="false" outlineLevel="0" collapsed="false">
      <c r="A23" s="35" t="s">
        <v>112</v>
      </c>
      <c r="B23" s="35"/>
    </row>
    <row r="24" customFormat="false" ht="15" hidden="false" customHeight="false" outlineLevel="0" collapsed="false">
      <c r="A24" s="35" t="s">
        <v>114</v>
      </c>
      <c r="B24" s="35"/>
    </row>
    <row r="25" customFormat="false" ht="15" hidden="false" customHeight="false" outlineLevel="0" collapsed="false">
      <c r="A25" s="35" t="s">
        <v>116</v>
      </c>
      <c r="B25" s="35"/>
    </row>
    <row r="26" customFormat="false" ht="15" hidden="false" customHeight="false" outlineLevel="0" collapsed="false">
      <c r="A26" s="35" t="s">
        <v>118</v>
      </c>
      <c r="B26" s="35"/>
    </row>
    <row r="27" customFormat="false" ht="15" hidden="false" customHeight="false" outlineLevel="0" collapsed="false">
      <c r="A27" s="35" t="s">
        <v>120</v>
      </c>
      <c r="B27" s="35"/>
    </row>
    <row r="28" customFormat="false" ht="15" hidden="false" customHeight="false" outlineLevel="0" collapsed="false">
      <c r="A28" s="35" t="s">
        <v>122</v>
      </c>
      <c r="B28" s="35"/>
    </row>
    <row r="29" customFormat="false" ht="15" hidden="false" customHeight="false" outlineLevel="0" collapsed="false">
      <c r="A29" s="35" t="s">
        <v>124</v>
      </c>
      <c r="B29" s="35"/>
    </row>
    <row r="30" customFormat="false" ht="15" hidden="false" customHeight="false" outlineLevel="0" collapsed="false">
      <c r="A30" s="35" t="s">
        <v>126</v>
      </c>
      <c r="B30" s="35"/>
    </row>
    <row r="31" customFormat="false" ht="15" hidden="false" customHeight="false" outlineLevel="0" collapsed="false">
      <c r="A31" s="35" t="s">
        <v>128</v>
      </c>
      <c r="B31" s="35"/>
    </row>
    <row r="32" customFormat="false" ht="15" hidden="false" customHeight="false" outlineLevel="0" collapsed="false">
      <c r="A32" s="35" t="s">
        <v>130</v>
      </c>
      <c r="B32" s="35"/>
    </row>
    <row r="33" customFormat="false" ht="15" hidden="false" customHeight="false" outlineLevel="0" collapsed="false">
      <c r="A33" s="35" t="s">
        <v>132</v>
      </c>
      <c r="B33" s="35"/>
    </row>
    <row r="34" customFormat="false" ht="15" hidden="false" customHeight="false" outlineLevel="0" collapsed="false">
      <c r="A34" s="35" t="s">
        <v>134</v>
      </c>
      <c r="B34" s="35"/>
    </row>
    <row r="35" customFormat="false" ht="15" hidden="false" customHeight="false" outlineLevel="0" collapsed="false">
      <c r="A35" s="35" t="s">
        <v>136</v>
      </c>
      <c r="B35" s="35"/>
    </row>
    <row r="36" customFormat="false" ht="15" hidden="false" customHeight="false" outlineLevel="0" collapsed="false">
      <c r="A36" s="35" t="s">
        <v>138</v>
      </c>
      <c r="B36" s="35"/>
    </row>
    <row r="37" customFormat="false" ht="15" hidden="false" customHeight="false" outlineLevel="0" collapsed="false">
      <c r="A37" s="35" t="s">
        <v>140</v>
      </c>
      <c r="B37" s="35"/>
    </row>
    <row r="38" customFormat="false" ht="15" hidden="false" customHeight="false" outlineLevel="0" collapsed="false">
      <c r="A38" s="35" t="s">
        <v>142</v>
      </c>
      <c r="B38" s="35"/>
    </row>
    <row r="39" customFormat="false" ht="15" hidden="false" customHeight="false" outlineLevel="0" collapsed="false">
      <c r="A39" s="35" t="s">
        <v>144</v>
      </c>
      <c r="B39" s="35"/>
    </row>
    <row r="40" customFormat="false" ht="15" hidden="false" customHeight="false" outlineLevel="0" collapsed="false">
      <c r="A40" s="35" t="s">
        <v>146</v>
      </c>
      <c r="B40" s="35"/>
    </row>
    <row r="41" customFormat="false" ht="15" hidden="false" customHeight="false" outlineLevel="0" collapsed="false">
      <c r="A41" s="35" t="s">
        <v>148</v>
      </c>
      <c r="B41" s="35"/>
    </row>
    <row r="42" customFormat="false" ht="15" hidden="false" customHeight="false" outlineLevel="0" collapsed="false">
      <c r="A42" s="35" t="s">
        <v>150</v>
      </c>
      <c r="B42" s="35"/>
    </row>
    <row r="43" customFormat="false" ht="15" hidden="false" customHeight="false" outlineLevel="0" collapsed="false">
      <c r="A43" s="35" t="s">
        <v>152</v>
      </c>
      <c r="B43" s="35"/>
    </row>
    <row r="44" customFormat="false" ht="15" hidden="false" customHeight="false" outlineLevel="0" collapsed="false">
      <c r="A44" s="35" t="s">
        <v>154</v>
      </c>
      <c r="B44" s="35"/>
    </row>
    <row r="45" customFormat="false" ht="15" hidden="false" customHeight="false" outlineLevel="0" collapsed="false">
      <c r="A45" s="35" t="s">
        <v>156</v>
      </c>
      <c r="B45" s="35"/>
    </row>
    <row r="46" customFormat="false" ht="15" hidden="false" customHeight="false" outlineLevel="0" collapsed="false">
      <c r="A46" s="35" t="s">
        <v>158</v>
      </c>
      <c r="B46" s="35"/>
    </row>
    <row r="47" customFormat="false" ht="15" hidden="false" customHeight="false" outlineLevel="0" collapsed="false">
      <c r="A47" s="35" t="s">
        <v>160</v>
      </c>
      <c r="B47" s="35"/>
    </row>
    <row r="48" customFormat="false" ht="15" hidden="false" customHeight="false" outlineLevel="0" collapsed="false">
      <c r="A48" s="35" t="s">
        <v>162</v>
      </c>
      <c r="B48" s="35"/>
    </row>
    <row r="49" customFormat="false" ht="15" hidden="false" customHeight="false" outlineLevel="0" collapsed="false">
      <c r="A49" s="35" t="s">
        <v>164</v>
      </c>
      <c r="B49" s="35"/>
    </row>
    <row r="50" customFormat="false" ht="15" hidden="false" customHeight="false" outlineLevel="0" collapsed="false">
      <c r="A50" s="35" t="s">
        <v>166</v>
      </c>
      <c r="B50" s="35"/>
    </row>
    <row r="51" customFormat="false" ht="15" hidden="false" customHeight="false" outlineLevel="0" collapsed="false">
      <c r="A51" s="35" t="s">
        <v>168</v>
      </c>
      <c r="B51" s="35"/>
    </row>
    <row r="52" customFormat="false" ht="15" hidden="false" customHeight="false" outlineLevel="0" collapsed="false">
      <c r="A52" s="35" t="s">
        <v>170</v>
      </c>
      <c r="B52" s="35"/>
    </row>
    <row r="53" customFormat="false" ht="15" hidden="false" customHeight="false" outlineLevel="0" collapsed="false">
      <c r="A53" s="35" t="s">
        <v>172</v>
      </c>
      <c r="B53" s="35"/>
    </row>
    <row r="54" customFormat="false" ht="15" hidden="false" customHeight="false" outlineLevel="0" collapsed="false">
      <c r="A54" s="35" t="s">
        <v>174</v>
      </c>
      <c r="B54" s="35"/>
    </row>
    <row r="55" customFormat="false" ht="15" hidden="false" customHeight="false" outlineLevel="0" collapsed="false">
      <c r="A55" s="35" t="s">
        <v>176</v>
      </c>
      <c r="B55" s="35"/>
    </row>
    <row r="56" customFormat="false" ht="15" hidden="false" customHeight="false" outlineLevel="0" collapsed="false">
      <c r="A56" s="35" t="s">
        <v>178</v>
      </c>
      <c r="B56" s="35"/>
    </row>
    <row r="57" customFormat="false" ht="15" hidden="false" customHeight="false" outlineLevel="0" collapsed="false">
      <c r="A57" s="35" t="s">
        <v>180</v>
      </c>
      <c r="B57" s="35"/>
    </row>
    <row r="58" customFormat="false" ht="15" hidden="false" customHeight="false" outlineLevel="0" collapsed="false">
      <c r="A58" s="35" t="s">
        <v>182</v>
      </c>
      <c r="B58" s="35"/>
    </row>
    <row r="59" customFormat="false" ht="15" hidden="false" customHeight="false" outlineLevel="0" collapsed="false">
      <c r="A59" s="35" t="s">
        <v>184</v>
      </c>
      <c r="B59" s="35"/>
    </row>
    <row r="60" customFormat="false" ht="15" hidden="false" customHeight="false" outlineLevel="0" collapsed="false">
      <c r="A60" s="35" t="s">
        <v>186</v>
      </c>
      <c r="B60" s="35"/>
    </row>
    <row r="61" customFormat="false" ht="15" hidden="false" customHeight="false" outlineLevel="0" collapsed="false">
      <c r="A61" s="35" t="s">
        <v>188</v>
      </c>
      <c r="B61" s="35"/>
    </row>
    <row r="62" customFormat="false" ht="15" hidden="false" customHeight="false" outlineLevel="0" collapsed="false">
      <c r="A62" s="35" t="s">
        <v>190</v>
      </c>
      <c r="B62" s="35"/>
    </row>
    <row r="63" customFormat="false" ht="15" hidden="false" customHeight="false" outlineLevel="0" collapsed="false">
      <c r="A63" s="35" t="s">
        <v>192</v>
      </c>
      <c r="B63" s="35"/>
    </row>
    <row r="64" customFormat="false" ht="15" hidden="false" customHeight="false" outlineLevel="0" collapsed="false">
      <c r="A64" s="35" t="s">
        <v>194</v>
      </c>
      <c r="B64" s="35"/>
    </row>
    <row r="65" customFormat="false" ht="15" hidden="false" customHeight="false" outlineLevel="0" collapsed="false">
      <c r="A65" s="35" t="s">
        <v>196</v>
      </c>
      <c r="B65" s="35"/>
    </row>
    <row r="66" customFormat="false" ht="15" hidden="false" customHeight="false" outlineLevel="0" collapsed="false">
      <c r="A66" s="35" t="s">
        <v>198</v>
      </c>
      <c r="B66" s="35"/>
    </row>
    <row r="67" customFormat="false" ht="15" hidden="false" customHeight="false" outlineLevel="0" collapsed="false">
      <c r="A67" s="35" t="s">
        <v>200</v>
      </c>
      <c r="B67" s="35"/>
    </row>
    <row r="68" customFormat="false" ht="15" hidden="false" customHeight="false" outlineLevel="0" collapsed="false">
      <c r="A68" s="35" t="s">
        <v>202</v>
      </c>
      <c r="B68" s="35"/>
    </row>
    <row r="69" customFormat="false" ht="15" hidden="false" customHeight="false" outlineLevel="0" collapsed="false">
      <c r="A69" s="35" t="s">
        <v>204</v>
      </c>
      <c r="B69" s="35"/>
    </row>
    <row r="70" customFormat="false" ht="15" hidden="false" customHeight="false" outlineLevel="0" collapsed="false">
      <c r="A70" s="35" t="s">
        <v>206</v>
      </c>
      <c r="B70" s="35"/>
    </row>
    <row r="71" customFormat="false" ht="15" hidden="false" customHeight="false" outlineLevel="0" collapsed="false">
      <c r="A71" s="35" t="s">
        <v>208</v>
      </c>
      <c r="B71" s="35"/>
    </row>
    <row r="72" customFormat="false" ht="15" hidden="false" customHeight="false" outlineLevel="0" collapsed="false">
      <c r="A72" s="35" t="s">
        <v>210</v>
      </c>
      <c r="B72" s="35"/>
    </row>
    <row r="73" customFormat="false" ht="15" hidden="false" customHeight="false" outlineLevel="0" collapsed="false">
      <c r="A73" s="35" t="s">
        <v>212</v>
      </c>
      <c r="B73" s="35"/>
    </row>
    <row r="74" customFormat="false" ht="15" hidden="false" customHeight="false" outlineLevel="0" collapsed="false">
      <c r="A74" s="35" t="s">
        <v>214</v>
      </c>
      <c r="B74" s="35"/>
    </row>
    <row r="75" customFormat="false" ht="15" hidden="false" customHeight="false" outlineLevel="0" collapsed="false">
      <c r="A75" s="35" t="s">
        <v>216</v>
      </c>
      <c r="B75" s="35"/>
    </row>
    <row r="76" customFormat="false" ht="15" hidden="false" customHeight="false" outlineLevel="0" collapsed="false">
      <c r="A76" s="35" t="s">
        <v>218</v>
      </c>
      <c r="B76" s="35"/>
    </row>
    <row r="77" customFormat="false" ht="15" hidden="false" customHeight="false" outlineLevel="0" collapsed="false">
      <c r="A77" s="35" t="s">
        <v>220</v>
      </c>
      <c r="B77" s="35"/>
    </row>
    <row r="78" customFormat="false" ht="15" hidden="false" customHeight="false" outlineLevel="0" collapsed="false">
      <c r="A78" s="35" t="s">
        <v>222</v>
      </c>
      <c r="B78" s="35"/>
    </row>
    <row r="79" customFormat="false" ht="15" hidden="false" customHeight="false" outlineLevel="0" collapsed="false">
      <c r="A79" s="35" t="s">
        <v>224</v>
      </c>
      <c r="B79" s="35"/>
    </row>
    <row r="80" customFormat="false" ht="15" hidden="false" customHeight="false" outlineLevel="0" collapsed="false">
      <c r="A80" s="35" t="s">
        <v>226</v>
      </c>
      <c r="B80" s="35"/>
    </row>
    <row r="81" customFormat="false" ht="15" hidden="false" customHeight="false" outlineLevel="0" collapsed="false">
      <c r="A81" s="35" t="s">
        <v>228</v>
      </c>
      <c r="B81" s="35"/>
    </row>
    <row r="82" customFormat="false" ht="15" hidden="false" customHeight="false" outlineLevel="0" collapsed="false">
      <c r="A82" s="35" t="s">
        <v>230</v>
      </c>
      <c r="B82" s="35"/>
    </row>
    <row r="83" customFormat="false" ht="15" hidden="false" customHeight="false" outlineLevel="0" collapsed="false">
      <c r="A83" s="35" t="s">
        <v>232</v>
      </c>
      <c r="B83" s="35"/>
    </row>
    <row r="84" customFormat="false" ht="15" hidden="false" customHeight="false" outlineLevel="0" collapsed="false">
      <c r="A84" s="35" t="s">
        <v>234</v>
      </c>
      <c r="B84" s="35"/>
    </row>
    <row r="85" customFormat="false" ht="15" hidden="false" customHeight="false" outlineLevel="0" collapsed="false">
      <c r="A85" s="35" t="s">
        <v>236</v>
      </c>
      <c r="B85" s="35"/>
    </row>
    <row r="86" customFormat="false" ht="15" hidden="false" customHeight="false" outlineLevel="0" collapsed="false">
      <c r="A86" s="35" t="s">
        <v>238</v>
      </c>
      <c r="B86" s="35"/>
    </row>
    <row r="87" customFormat="false" ht="15" hidden="false" customHeight="false" outlineLevel="0" collapsed="false">
      <c r="A87" s="35" t="s">
        <v>240</v>
      </c>
      <c r="B87" s="35"/>
    </row>
    <row r="88" customFormat="false" ht="15" hidden="false" customHeight="false" outlineLevel="0" collapsed="false">
      <c r="A88" s="35" t="s">
        <v>242</v>
      </c>
      <c r="B88" s="35"/>
    </row>
    <row r="89" customFormat="false" ht="15" hidden="false" customHeight="false" outlineLevel="0" collapsed="false">
      <c r="A89" s="35" t="s">
        <v>244</v>
      </c>
      <c r="B89" s="35"/>
    </row>
    <row r="90" customFormat="false" ht="15" hidden="false" customHeight="false" outlineLevel="0" collapsed="false">
      <c r="A90" s="35" t="s">
        <v>246</v>
      </c>
      <c r="B90" s="35"/>
    </row>
    <row r="91" customFormat="false" ht="15" hidden="false" customHeight="false" outlineLevel="0" collapsed="false">
      <c r="A91" s="35" t="s">
        <v>248</v>
      </c>
      <c r="B91" s="35"/>
    </row>
    <row r="92" customFormat="false" ht="15" hidden="false" customHeight="false" outlineLevel="0" collapsed="false">
      <c r="A92" s="35" t="s">
        <v>250</v>
      </c>
      <c r="B92" s="35"/>
    </row>
    <row r="93" customFormat="false" ht="15" hidden="false" customHeight="false" outlineLevel="0" collapsed="false">
      <c r="A93" s="35" t="s">
        <v>252</v>
      </c>
      <c r="B93" s="35"/>
    </row>
    <row r="94" customFormat="false" ht="15" hidden="false" customHeight="false" outlineLevel="0" collapsed="false">
      <c r="A94" s="35" t="s">
        <v>254</v>
      </c>
      <c r="B94" s="35"/>
    </row>
    <row r="95" customFormat="false" ht="15" hidden="false" customHeight="false" outlineLevel="0" collapsed="false">
      <c r="A95" s="35" t="s">
        <v>256</v>
      </c>
      <c r="B95" s="35"/>
    </row>
    <row r="96" customFormat="false" ht="15" hidden="false" customHeight="false" outlineLevel="0" collapsed="false">
      <c r="A96" s="35" t="s">
        <v>258</v>
      </c>
      <c r="B96" s="35"/>
    </row>
    <row r="97" customFormat="false" ht="15" hidden="false" customHeight="false" outlineLevel="0" collapsed="false">
      <c r="A97" s="35" t="s">
        <v>260</v>
      </c>
      <c r="B97" s="35"/>
    </row>
    <row r="98" customFormat="false" ht="15" hidden="false" customHeight="false" outlineLevel="0" collapsed="false">
      <c r="A98" s="35" t="s">
        <v>262</v>
      </c>
      <c r="B98" s="35"/>
    </row>
    <row r="99" customFormat="false" ht="15" hidden="false" customHeight="false" outlineLevel="0" collapsed="false">
      <c r="A99" s="35" t="s">
        <v>264</v>
      </c>
      <c r="B99" s="35"/>
    </row>
    <row r="100" customFormat="false" ht="15" hidden="false" customHeight="false" outlineLevel="0" collapsed="false">
      <c r="A100" s="35" t="s">
        <v>266</v>
      </c>
      <c r="B100" s="35"/>
    </row>
    <row r="101" customFormat="false" ht="15" hidden="false" customHeight="false" outlineLevel="0" collapsed="false">
      <c r="A101" s="35" t="s">
        <v>268</v>
      </c>
      <c r="B101" s="35"/>
    </row>
    <row r="102" customFormat="false" ht="15" hidden="false" customHeight="false" outlineLevel="0" collapsed="false">
      <c r="A102" s="35" t="s">
        <v>270</v>
      </c>
      <c r="B102" s="35"/>
    </row>
    <row r="103" customFormat="false" ht="15" hidden="false" customHeight="false" outlineLevel="0" collapsed="false">
      <c r="A103" s="35" t="s">
        <v>272</v>
      </c>
      <c r="B103" s="35"/>
    </row>
    <row r="104" customFormat="false" ht="15" hidden="false" customHeight="false" outlineLevel="0" collapsed="false">
      <c r="A104" s="35" t="s">
        <v>274</v>
      </c>
      <c r="B104" s="35"/>
    </row>
    <row r="105" customFormat="false" ht="15" hidden="false" customHeight="false" outlineLevel="0" collapsed="false">
      <c r="A105" s="35" t="s">
        <v>276</v>
      </c>
      <c r="B105" s="35"/>
    </row>
    <row r="106" customFormat="false" ht="15" hidden="false" customHeight="false" outlineLevel="0" collapsed="false">
      <c r="A106" s="35" t="s">
        <v>278</v>
      </c>
      <c r="B106" s="35"/>
    </row>
    <row r="107" customFormat="false" ht="15" hidden="false" customHeight="false" outlineLevel="0" collapsed="false">
      <c r="A107" s="35" t="s">
        <v>280</v>
      </c>
      <c r="B107" s="35"/>
    </row>
    <row r="108" customFormat="false" ht="15" hidden="false" customHeight="false" outlineLevel="0" collapsed="false">
      <c r="A108" s="35" t="s">
        <v>282</v>
      </c>
      <c r="B108" s="35"/>
    </row>
    <row r="109" customFormat="false" ht="15" hidden="false" customHeight="false" outlineLevel="0" collapsed="false">
      <c r="A109" s="35" t="s">
        <v>284</v>
      </c>
      <c r="B109" s="35"/>
    </row>
    <row r="110" customFormat="false" ht="15" hidden="false" customHeight="false" outlineLevel="0" collapsed="false">
      <c r="A110" s="35" t="s">
        <v>286</v>
      </c>
      <c r="B110" s="35"/>
    </row>
    <row r="111" customFormat="false" ht="15" hidden="false" customHeight="false" outlineLevel="0" collapsed="false">
      <c r="A111" s="35" t="s">
        <v>288</v>
      </c>
      <c r="B111" s="35"/>
    </row>
    <row r="112" customFormat="false" ht="15" hidden="false" customHeight="false" outlineLevel="0" collapsed="false">
      <c r="A112" s="35" t="s">
        <v>290</v>
      </c>
      <c r="B112" s="35"/>
    </row>
    <row r="113" customFormat="false" ht="15" hidden="false" customHeight="false" outlineLevel="0" collapsed="false">
      <c r="A113" s="35" t="s">
        <v>292</v>
      </c>
      <c r="B113" s="35"/>
    </row>
    <row r="114" customFormat="false" ht="15" hidden="false" customHeight="false" outlineLevel="0" collapsed="false">
      <c r="A114" s="35" t="s">
        <v>294</v>
      </c>
      <c r="B114" s="35"/>
    </row>
    <row r="115" customFormat="false" ht="15" hidden="false" customHeight="false" outlineLevel="0" collapsed="false">
      <c r="A115" s="35" t="s">
        <v>296</v>
      </c>
      <c r="B115" s="35"/>
    </row>
    <row r="116" customFormat="false" ht="15" hidden="false" customHeight="false" outlineLevel="0" collapsed="false">
      <c r="A116" s="35" t="s">
        <v>298</v>
      </c>
      <c r="B116" s="35"/>
    </row>
    <row r="117" customFormat="false" ht="15" hidden="false" customHeight="false" outlineLevel="0" collapsed="false">
      <c r="A117" s="35" t="s">
        <v>300</v>
      </c>
      <c r="B117" s="35"/>
    </row>
    <row r="118" customFormat="false" ht="15" hidden="false" customHeight="false" outlineLevel="0" collapsed="false">
      <c r="A118" s="35" t="s">
        <v>302</v>
      </c>
      <c r="B118" s="35"/>
    </row>
    <row r="119" customFormat="false" ht="15" hidden="false" customHeight="false" outlineLevel="0" collapsed="false">
      <c r="A119" s="35" t="s">
        <v>304</v>
      </c>
      <c r="B119" s="35"/>
    </row>
    <row r="120" customFormat="false" ht="15" hidden="false" customHeight="false" outlineLevel="0" collapsed="false">
      <c r="A120" s="35" t="s">
        <v>306</v>
      </c>
      <c r="B120" s="35"/>
    </row>
    <row r="121" customFormat="false" ht="15" hidden="false" customHeight="false" outlineLevel="0" collapsed="false">
      <c r="A121" s="35" t="s">
        <v>308</v>
      </c>
      <c r="B121" s="35"/>
    </row>
    <row r="122" customFormat="false" ht="15" hidden="false" customHeight="false" outlineLevel="0" collapsed="false">
      <c r="A122" s="35" t="s">
        <v>310</v>
      </c>
      <c r="B122" s="35"/>
    </row>
    <row r="123" customFormat="false" ht="15" hidden="false" customHeight="false" outlineLevel="0" collapsed="false">
      <c r="A123" s="35" t="s">
        <v>312</v>
      </c>
      <c r="B123" s="35"/>
    </row>
    <row r="124" customFormat="false" ht="15" hidden="false" customHeight="false" outlineLevel="0" collapsed="false">
      <c r="A124" s="35" t="s">
        <v>314</v>
      </c>
      <c r="B124" s="35"/>
    </row>
    <row r="125" customFormat="false" ht="15" hidden="false" customHeight="false" outlineLevel="0" collapsed="false">
      <c r="A125" s="35" t="s">
        <v>316</v>
      </c>
      <c r="B125" s="35"/>
    </row>
    <row r="126" customFormat="false" ht="15" hidden="false" customHeight="false" outlineLevel="0" collapsed="false">
      <c r="A126" s="35" t="s">
        <v>318</v>
      </c>
      <c r="B126" s="35"/>
    </row>
    <row r="127" customFormat="false" ht="15" hidden="false" customHeight="false" outlineLevel="0" collapsed="false">
      <c r="A127" s="35" t="s">
        <v>320</v>
      </c>
      <c r="B127" s="35"/>
    </row>
    <row r="128" customFormat="false" ht="15" hidden="false" customHeight="false" outlineLevel="0" collapsed="false">
      <c r="A128" s="35" t="s">
        <v>322</v>
      </c>
      <c r="B128" s="35"/>
    </row>
    <row r="129" customFormat="false" ht="15" hidden="false" customHeight="false" outlineLevel="0" collapsed="false">
      <c r="A129" s="35" t="s">
        <v>324</v>
      </c>
      <c r="B129" s="35"/>
    </row>
    <row r="130" customFormat="false" ht="15" hidden="false" customHeight="false" outlineLevel="0" collapsed="false">
      <c r="A130" s="35" t="s">
        <v>326</v>
      </c>
      <c r="B130" s="35"/>
    </row>
    <row r="131" customFormat="false" ht="15" hidden="false" customHeight="false" outlineLevel="0" collapsed="false">
      <c r="A131" s="35" t="s">
        <v>328</v>
      </c>
      <c r="B131" s="35"/>
    </row>
    <row r="132" customFormat="false" ht="15" hidden="false" customHeight="false" outlineLevel="0" collapsed="false">
      <c r="A132" s="35" t="s">
        <v>330</v>
      </c>
      <c r="B132" s="35"/>
    </row>
    <row r="133" customFormat="false" ht="15" hidden="false" customHeight="false" outlineLevel="0" collapsed="false">
      <c r="A133" s="35" t="s">
        <v>332</v>
      </c>
      <c r="B133" s="35"/>
    </row>
    <row r="134" customFormat="false" ht="15" hidden="false" customHeight="false" outlineLevel="0" collapsed="false">
      <c r="A134" s="35" t="s">
        <v>334</v>
      </c>
      <c r="B134" s="35"/>
    </row>
    <row r="135" customFormat="false" ht="15" hidden="false" customHeight="false" outlineLevel="0" collapsed="false">
      <c r="A135" s="35" t="s">
        <v>336</v>
      </c>
      <c r="B135" s="35"/>
    </row>
    <row r="136" customFormat="false" ht="15" hidden="false" customHeight="false" outlineLevel="0" collapsed="false">
      <c r="A136" s="35" t="s">
        <v>338</v>
      </c>
      <c r="B136" s="35"/>
    </row>
    <row r="137" customFormat="false" ht="15" hidden="false" customHeight="false" outlineLevel="0" collapsed="false">
      <c r="A137" s="35" t="s">
        <v>340</v>
      </c>
      <c r="B137" s="35"/>
    </row>
    <row r="138" customFormat="false" ht="15" hidden="false" customHeight="false" outlineLevel="0" collapsed="false">
      <c r="A138" s="35" t="s">
        <v>342</v>
      </c>
      <c r="B138" s="35"/>
    </row>
    <row r="139" customFormat="false" ht="15" hidden="false" customHeight="false" outlineLevel="0" collapsed="false">
      <c r="A139" s="35" t="s">
        <v>344</v>
      </c>
      <c r="B139" s="35"/>
    </row>
    <row r="140" customFormat="false" ht="15" hidden="false" customHeight="false" outlineLevel="0" collapsed="false">
      <c r="A140" s="35" t="s">
        <v>346</v>
      </c>
      <c r="B140" s="35"/>
    </row>
    <row r="141" customFormat="false" ht="15" hidden="false" customHeight="false" outlineLevel="0" collapsed="false">
      <c r="A141" s="35" t="s">
        <v>348</v>
      </c>
      <c r="B141" s="35"/>
    </row>
    <row r="142" customFormat="false" ht="15" hidden="false" customHeight="false" outlineLevel="0" collapsed="false">
      <c r="A142" s="35" t="s">
        <v>350</v>
      </c>
      <c r="B142" s="35"/>
    </row>
    <row r="143" customFormat="false" ht="15" hidden="false" customHeight="false" outlineLevel="0" collapsed="false">
      <c r="A143" s="35" t="s">
        <v>352</v>
      </c>
      <c r="B143" s="35"/>
    </row>
    <row r="144" customFormat="false" ht="15" hidden="false" customHeight="false" outlineLevel="0" collapsed="false">
      <c r="A144" s="35" t="s">
        <v>354</v>
      </c>
      <c r="B144" s="35"/>
    </row>
    <row r="145" customFormat="false" ht="15" hidden="false" customHeight="false" outlineLevel="0" collapsed="false">
      <c r="A145" s="35" t="s">
        <v>356</v>
      </c>
      <c r="B145" s="35"/>
    </row>
    <row r="146" customFormat="false" ht="15" hidden="false" customHeight="false" outlineLevel="0" collapsed="false">
      <c r="A146" s="35" t="s">
        <v>358</v>
      </c>
      <c r="B146" s="35"/>
    </row>
    <row r="147" customFormat="false" ht="15" hidden="false" customHeight="false" outlineLevel="0" collapsed="false">
      <c r="A147" s="35" t="s">
        <v>360</v>
      </c>
      <c r="B147" s="35"/>
    </row>
    <row r="148" customFormat="false" ht="15" hidden="false" customHeight="false" outlineLevel="0" collapsed="false">
      <c r="A148" s="35" t="s">
        <v>362</v>
      </c>
      <c r="B148" s="35"/>
    </row>
    <row r="149" customFormat="false" ht="15" hidden="false" customHeight="false" outlineLevel="0" collapsed="false">
      <c r="A149" s="35" t="s">
        <v>364</v>
      </c>
      <c r="B149" s="35"/>
    </row>
    <row r="150" customFormat="false" ht="15" hidden="false" customHeight="false" outlineLevel="0" collapsed="false">
      <c r="A150" s="35" t="s">
        <v>366</v>
      </c>
      <c r="B150" s="35"/>
    </row>
    <row r="151" customFormat="false" ht="15" hidden="false" customHeight="false" outlineLevel="0" collapsed="false">
      <c r="A151" s="35" t="s">
        <v>368</v>
      </c>
      <c r="B151" s="35"/>
    </row>
    <row r="152" customFormat="false" ht="15" hidden="false" customHeight="false" outlineLevel="0" collapsed="false">
      <c r="A152" s="35" t="s">
        <v>370</v>
      </c>
      <c r="B152" s="35"/>
    </row>
    <row r="153" customFormat="false" ht="15" hidden="false" customHeight="false" outlineLevel="0" collapsed="false">
      <c r="A153" s="35" t="s">
        <v>372</v>
      </c>
      <c r="B153" s="35"/>
    </row>
    <row r="154" customFormat="false" ht="15" hidden="false" customHeight="false" outlineLevel="0" collapsed="false">
      <c r="A154" s="35" t="s">
        <v>374</v>
      </c>
      <c r="B154" s="35"/>
    </row>
    <row r="155" customFormat="false" ht="15" hidden="false" customHeight="false" outlineLevel="0" collapsed="false">
      <c r="A155" s="35" t="s">
        <v>376</v>
      </c>
      <c r="B155" s="35"/>
    </row>
    <row r="156" customFormat="false" ht="15" hidden="false" customHeight="false" outlineLevel="0" collapsed="false">
      <c r="A156" s="35" t="s">
        <v>378</v>
      </c>
      <c r="B156" s="35"/>
    </row>
    <row r="157" customFormat="false" ht="15" hidden="false" customHeight="false" outlineLevel="0" collapsed="false">
      <c r="A157" s="35" t="s">
        <v>380</v>
      </c>
      <c r="B157" s="35"/>
    </row>
    <row r="158" customFormat="false" ht="15" hidden="false" customHeight="false" outlineLevel="0" collapsed="false">
      <c r="A158" s="35" t="s">
        <v>773</v>
      </c>
      <c r="B158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LYJAABQSwMEFAACAAgASkRHWT/QtZGoAAAA+gAAABIAHABDb25maWcvUGFja2FnZS54bWwgohgAKKAUAAAAAAAAAAAAAAAAAAAAAAAAAAAAhY9LDoIwGISvQrqnL4Ov/JSFWzAmJsZtAxUaoRhaLHdz4ZG8giSKunM5M98kM4/bHZKhqYOr6qxuTYwYpihQJm8LbcoY9e4ULlEiYCfzsyxVMMLGrgerY1Q5d1kT4r3HfobbriScUkaOWbrPK9XIUBvrpMkV+rSK/y0k4PAaIzieMxyxFccR53wBZAog0+YL8XEzpkB+TNj0tes7JUwdblMgkwTy/iGeUEsDBBQAAgAIAEpER1k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BKREdZbrEUrKwGAABlqQAAEwAcAEZvcm11bGFzL1NlY3Rpb24xLm0gohgAKKAUAAAAAAAAAAAAAAAAAAAAAAAAAAAA7ZxLb9tGGEX3BvwfCGVjA6qh7xs9G2jRvNBVH4h3SWDQ1tRmIZEBSTlNg/z32pkIcTM4dhunRVFcb2zPpURfPoYHowN38ayvmrp4nr7bw/29/b3uomzjqngw2JSvX1f1+cnpdnUe+2+OH/148iZW5xd9XA2KZbGO/f5ecfX1qL16i2XxuLs8etKcbTex7g+eVet49Lip+6tfuoPBs29f7qLu5ZOyL1/e8uZHZ93l4HD44klcV5uqj+1yMBwMi8fNerupu2Ww2bB4Wp81q6vXL80nPix+3jZ9fN6/Xcflpx+Pfmjq+OpwmP7KB4Pjt69jcR7fVL/+Xp1/qHBcnl5tdtyWdfdL027SHq436w6uSw3fvRukMbvaf3/98j7+1r8fFrtxh/EA42MYn8D4FMZnMD6H8QWM24gCamxU2aizUWmj1ka1jXobFTdq7tTc8VxTc6fmTs2dmjs1d2ru1NypeaDmgZoHvMypeaDmgZoHah6oeaDmgZqPqfmYmo+p+RjvcGo+puZjaj6m5mNqPqbmE2o+oeYTaj6h5hOc3Kj5hJpPqPmEmk+o+ZSaT6n5lJpPqfmUmk9xXqfmU2o+peZTaj6j5jNqPqPmM2o+o+Yzaj7DRxo1n1HzGTWfU/M5NZ9T8zk1n1PzOTWfU/M5Ps2p+ZyaL6j5gpovqPmCmi+o+YKaL6j5gpovEGSYZBBlRsgyI4SZEdLMCHFmhDwzQqAZIdGMEGlGeAxuwTk8Bgx0THSMdMx0DHVMdYx1yHWGYGdIdoZoZ8h2hnBnSHeGeGfId4aAZ0h4hohnyHiGkGdIeYaYZ8h5hqBnSHqGqGfIeoawZ0h7hrhnyHuGwGdIfIbIZ8h8htBnSH2G2GfIfYbgZ0h+huhnyH6G8GdIf4b4Z8h/hgBoSICGCGjIgIYQaEiBhhhoyIGGIGhIgoYoaMiChjBoSIOGOGjIg4ZAaEiEhkhoyISGUGhIhYZYaMiFhmBoSIaGaGjIhoZwaEiHhnhoyIeGgGhIiIaIaMiIhpBoSImGmGjIiY6c6MiJjpzoyImOnOjIiY6c6MiJjpzoyImOnOjIiY6c6MiJjpzoyImOnOjIiY6c6Lz+xwuAt6wA4jHgNUBeBORVQF4G5HVAXghETnTkREdOdORER0505ERHTnTkREdOdORER0505ERHTnTkREdOdORER0505ERHTnTkREdOdORER0505ERHTnTkREdOdORER0505ERHTnTkREdOdORER0505ERHTnTkREdOdORER0505ERHTnTkREdOdORER0505ERHTnTkREdOdORER0505ERHTnTkREdOdORER0505ERHTnTkREdOdORER0505ERHTnTkREdOdORER04MyIkBOTEgJwbkxICcGJATA3JiQE4MyIkBOTEgJwbkxICcGJATA3JiQE4MyInhM058f7i/V9UgAfxl46E48ENZDx/vGjryMC7r4WYg6yEnEnxM47MLJ3Sc5XC6oEDWQxbIesgCWQ9ZIOshC2Q9ZIGshyyQ9SDrQdbDVtZDSmQ9yHqQ9ZASWQ+yHmQ9pETWg6wHWQ8pkfUg60HWQ0pkPch6kPWQElkPsh5kPdzfegiyHnZ3DR15GJf1cDOQ9ZATCT6m8dmFEzrOcjhdUCDrIQtkPWSBrIcskPWQBbIeskDWQxbIepD1IOthK+shJbIeZD3IekiJrAdZD7IeUiLrQdaDrIeUyHqQ9SDrISWyHmQ9yHpIiawHWQ+yHu5vPYxlPezuGjryMC7r4WYg6yEnEnxM47MLJ3Sc5XC6oEDWQxbIesgCWQ9ZIOshC2Q9ZIGshyyQ9SDrQdbDVtZDSmQ9yHqQ9ZASWQ+yHmQ9pETWg6wHWQ8pkfUg60HWQ0pkPch6kPWQElkPsh5kPXyp9dDGddlXl/EfMR52b36n8TCV8QDjMh4+D2Q85DMcThUUyHjIAhkPWSDjIQtkPGSBjIcskPGQBTIeZDzIeNjKeEiJjAcZDzIeUiLjQcaDjIeUyHiQ8SDjISUyHmQ8yHhIiYwHGQ8yHlIi40HGw//feHj/6XP+72O5im1XbGJfXMb2omnOV0VdXcZy++lD/5/aZtP08eO2B5kdMCxefNzku/X6+Vm5Lttu2bfb+OpPAsVt+7ppU5yV7WlTP91UXVc1dXdy0Wy7eNGsV93JJpZ1d2+f4q4d3CFV+H9UqfgXTyuUsjta3f6HXffNisbdWdol9XZzGttb3Rz7TM6584I68K/wf0m+4Kp6eP+r6kvO9IeL62+f3Huf28uyra5f/1XO8eDhH1BLAQItABQAAgAIAEpER1k/0LWRqAAAAPoAAAASAAAAAAAAAAAAAAAAAAAAAABDb25maWcvUGFja2FnZS54bWxQSwECLQAUAAIACABKREdZD8rpq6QAAADpAAAAEwAAAAAAAAAAAAAAAAD0AAAAW0NvbnRlbnRfVHlwZXNdLnhtbFBLAQItABQAAgAIAEpER1lusRSsrAYAAGWpAAATAAAAAAAAAAAAAAAAAOUBAABGb3JtdWxhcy9TZWN0aW9uMS5tUEsFBgAAAAADAAMAwgAAAN4IAAAAABABAADvu788P3htbCB2ZXJzaW9uPSIxLjAiIGVuY29kaW5nPSJ1dGYtOCI/PjxQZXJtaXNzaW9uTGlzdCB4bWxuczp4c2k9Imh0dHA6Ly93d3cudzMub3JnLzIwMDEvWE1MU2NoZW1hLWluc3RhbmNlIiB4bWxuczp4c2Q9Imh0dHA6Ly93d3cudzMub3JnLzIwMDEvWE1MU2NoZW1hIj48Q2FuRXZhbHVhdGVGdXR1cmVQYWNrYWdlcz5mYWxzZTwvQ2FuRXZhbHVhdGVGdXR1cmVQYWNrYWdlcz48RmlyZXdhbGxFbmFibGVkPnRydWU8L0ZpcmV3YWxsRW5hYmxlZD48L1Blcm1pc3Npb25MaXN0PpDABAAAAAAAbsAEAO+7vzw/eG1sIHZlcnNpb249IjEuMCIgZW5jb2Rpbmc9InV0Zi04Ij8+PExvY2FsUGFja2FnZU1ldGFkYXRhRmlsZSB4bWxuczp4c2k9Imh0dHA6Ly93d3cudzMub3JnLzIwMDEvWE1MU2NoZW1hLWluc3RhbmNlIiB4bWxuczp4c2Q9Imh0dHA6Ly93d3cudzMub3JnLzIwMDEvWE1MU2NoZW1h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21hcHBpbmdfYnVkZ2V0LVRCT193ZWlnaHRlZDwvSXRlbVBhdGg+PC9JdGVtTG9jYXRpb24+PFN0YWJsZUVudHJpZXM+PEVudHJ5IFR5cGU9IklzUHJpdmF0ZSIgVmFsdWU9ImwwIiAvPjxFbnRyeSBUeXBlPSJOYXZpZ2F0aW9uU3RlcE5hbWUiIFZhbHVlPSJzTmF2aWdhdGllIiAvPjxFbnRyeSBUeXBlPSJCdWZmZXJOZXh0UmVmcmVzaCIgVmFsdWU9ImwxIiAvPjxFbnRyeSBUeXBlPSJSZXN1bHRUeXBlIiBWYWx1ZT0ic0V4Y2VwdGlvbiIgLz48RW50cnkgVHlwZT0iTmFtZVVwZGF0ZWRBZnRlckZpbGwiIFZhbHVlPSJsMCIgLz48RW50cnkgVHlwZT0iRmlsbEVuYWJsZWQiIFZhbHVlPSJsMCIgLz48RW50cnkgVHlwZT0iRmlsbE9iamVjdFR5cGUiIFZhbHVlPSJzQ29ubmVjdGlvbk9ubHkiIC8+PEVudHJ5IFR5cGU9IkZpbGxUb0RhdGFNb2RlbEVuYWJsZWQiIFZhbHVlPSJsMCIgLz48RW50cnkgVHlwZT0iRmlsbGVkQ29tcGxldGVSZXN1bHRUb1dvcmtzaGVldCIgVmFsdWU9ImwxIiAvPjxFbnRyeSBUeXBlPSJSZWNvdmVyeVRhcmdldFNoZWV0IiBWYWx1ZT0ic0JsYWQ4IiAvPjxFbnRyeSBUeXBlPSJSZWNvdmVyeVRhcmdldENvbHVtbiIgVmFsdWU9ImwxIiAvPjxFbnRyeSBUeXBlPSJSZWNvdmVyeVRhcmdldFJvdyIgVmFsdWU9ImwxIiAvPjxFbnRyeSBUeXBlPSJBZGRlZFRvRGF0YU1vZGVsIiBWYWx1ZT0ibDAiIC8+PEVudHJ5IFR5cGU9IkZpbGxDb3VudCIgVmFsdWU9ImwxNTciIC8+PEVudHJ5IFR5cGU9IkZpbGxFcnJvckNvZGUiIFZhbHVlPSJzVW5rbm93biIgLz48RW50cnkgVHlwZT0iRmlsbEVycm9yQ291bnQiIFZhbHVlPSJsMCIgLz48RW50cnkgVHlwZT0iRmlsbExhc3RVcGRhdGVkIiBWYWx1ZT0iZDIwMjQtMDUtMzBUMTQ6MDU6NTQuNjA5MDA1N1oiIC8+PEVudHJ5IFR5cGU9IkZpbGxDb2x1bW5UeXBlcyIgVmFsdWU9InN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k9IiAvPjxFbnRyeSBUeXBlPSJGaWxsQ29sdW1uTmFtZXMiIFZhbHVlPSJzWyZxdW90O0NvbHVtbjEmcXVvdDssJnF1b3Q7Q29sdW1uMiZxdW90OywmcXVvdDtDb2x1bW4zJnF1b3Q7LCZxdW90O0NvbHVtbjQmcXVvdDssJnF1b3Q7Q29sdW1uNSZxdW90OywmcXVvdDtDb2x1bW42JnF1b3Q7LCZxdW90O0NvbHVtbjcmcXVvdDssJnF1b3Q7Q29sdW1uOCZxdW90OywmcXVvdDtDb2x1bW45JnF1b3Q7LCZxdW90O0NvbHVtbjEwJnF1b3Q7LCZxdW90O0NvbHVtbjExJnF1b3Q7LCZxdW90O0NvbHVtbjEyJnF1b3Q7LCZxdW90O0NvbHVtbjEzJnF1b3Q7LCZxdW90O0NvbHVtbjE0JnF1b3Q7LCZxdW90O0NvbHVtbjE1JnF1b3Q7LCZxdW90O0NvbHVtbjE2JnF1b3Q7LCZxdW90O0NvbHVtbjE3JnF1b3Q7LCZxdW90O0NvbHVtbjE4JnF1b3Q7LCZxdW90O0NvbHVtbjE5JnF1b3Q7LCZxdW90O0NvbHVtbjIwJnF1b3Q7LCZxdW90O0NvbHVtbjIxJnF1b3Q7LCZxdW90O0NvbHVtbjIyJnF1b3Q7LCZxdW90O0NvbHVtbjIzJnF1b3Q7LCZxdW90O0NvbHVtbjI0JnF1b3Q7LCZxdW90O0NvbHVtbjI1JnF1b3Q7LCZxdW90O0NvbHVtbjI2JnF1b3Q7LCZxdW90O0NvbHVtbjI3JnF1b3Q7LCZxdW90O0NvbHVtbjI4JnF1b3Q7LCZxdW90O0NvbHVtbjI5JnF1b3Q7LCZxdW90O0NvbHVtbjMwJnF1b3Q7LCZxdW90O0NvbHVtbjMxJnF1b3Q7LCZxdW90O0NvbHVtbjMyJnF1b3Q7LCZxdW90O0NvbHVtbjMzJnF1b3Q7LCZxdW90O0NvbHVtbjM0JnF1b3Q7LCZxdW90O0NvbHVtbjM1JnF1b3Q7LCZxdW90O0NvbHVtbjM2JnF1b3Q7LCZxdW90O0NvbHVtbjM3JnF1b3Q7LCZxdW90O0NvbHVtbjM4JnF1b3Q7LCZxdW90O0NvbHVtbjM5JnF1b3Q7LCZxdW90O0NvbHVtbjQwJnF1b3Q7LCZxdW90O0NvbHVtbjQxJnF1b3Q7LCZxdW90O0NvbHVtbjQyJnF1b3Q7LCZxdW90O0NvbHVtbjQzJnF1b3Q7LCZxdW90O0NvbHVtbjQ0JnF1b3Q7LCZxdW90O0NvbHVtbjQ1JnF1b3Q7LCZxdW90O0NvbHVtbjQ2JnF1b3Q7LCZxdW90O0NvbHVtbjQ3JnF1b3Q7LCZxdW90O0NvbHVtbjQ4JnF1b3Q7LCZxdW90O0NvbHVtbjQ5JnF1b3Q7LCZxdW90O0NvbHVtbjUwJnF1b3Q7LCZxdW90O0NvbHVtbjUxJnF1b3Q7LCZxdW90O0NvbHVtbjUyJnF1b3Q7LCZxdW90O0NvbHVtbjUzJnF1b3Q7LCZxdW90O0NvbHVtbjU0JnF1b3Q7LCZxdW90O0NvbHVtbjU1JnF1b3Q7LCZxdW90O0NvbHVtbjU2JnF1b3Q7LCZxdW90O0NvbHVtbjU3JnF1b3Q7LCZxdW90O0NvbHVtbjU4JnF1b3Q7LCZxdW90O0NvbHVtbjU5JnF1b3Q7LCZxdW90O0NvbHVtbjYwJnF1b3Q7LCZxdW90O0NvbHVtbjYxJnF1b3Q7LCZxdW90O0NvbHVtbjYyJnF1b3Q7LCZxdW90O0NvbHVtbjYzJnF1b3Q7LCZxdW90O0NvbHVtbjY0JnF1b3Q7LCZxdW90O0NvbHVtbjY1JnF1b3Q7LCZxdW90O0NvbHVtbjY2JnF1b3Q7LCZxdW90O0NvbHVtbjY3JnF1b3Q7LCZxdW90O0NvbHVtbjY4JnF1b3Q7LCZxdW90O0NvbHVtbjY5JnF1b3Q7LCZxdW90O0NvbHVtbjcwJnF1b3Q7LCZxdW90O0NvbHVtbjcxJnF1b3Q7LCZxdW90O0NvbHVtbjcyJnF1b3Q7LCZxdW90O0NvbHVtbjczJnF1b3Q7LCZxdW90O0NvbHVtbjc0JnF1b3Q7LCZxdW90O0NvbHVtbjc1JnF1b3Q7LCZxdW90O0NvbHVtbjc2JnF1b3Q7LCZxdW90O0NvbHVtbjc3JnF1b3Q7LCZxdW90O0NvbHVtbjc4JnF1b3Q7LCZxdW90O0NvbHVtbjc5JnF1b3Q7LCZxdW90O0NvbHVtbjgwJnF1b3Q7LCZxdW90O0NvbHVtbjgxJnF1b3Q7LCZxdW90O0NvbHVtbjgyJnF1b3Q7LCZxdW90O0NvbHVtbjgzJnF1b3Q7LCZxdW90O0NvbHVtbjg0JnF1b3Q7LCZxdW90O0NvbHVtbjg1JnF1b3Q7LCZxdW90O0NvbHVtbjg2JnF1b3Q7LCZxdW90O0NvbHVtbjg3JnF1b3Q7LCZxdW90O0NvbHVtbjg4JnF1b3Q7LCZxdW90O0NvbHVtbjg5JnF1b3Q7LCZxdW90O0NvbHVtbjkwJnF1b3Q7LCZxdW90O0NvbHVtbjkxJnF1b3Q7LCZxdW90O0NvbHVtbjkyJnF1b3Q7LCZxdW90O0NvbHVtbjkzJnF1b3Q7LCZxdW90O0NvbHVtbjk0JnF1b3Q7LCZxdW90O0NvbHVtbjk1JnF1b3Q7LCZxdW90O0NvbHVtbjk2JnF1b3Q7LCZxdW90O0NvbHVtbjk3JnF1b3Q7LCZxdW90O0NvbHVtbjk4JnF1b3Q7LCZxdW90O0NvbHVtbjk5JnF1b3Q7LCZxdW90O0NvbHVtbjEwMCZxdW90OywmcXVvdDtDb2x1bW4xMDEmcXVvdDssJnF1b3Q7Q29sdW1uMTAyJnF1b3Q7LCZxdW90O0NvbHVtbjEwMyZxdW90OywmcXVvdDtDb2x1bW4xMDQmcXVvdDssJnF1b3Q7Q29sdW1uMTA1JnF1b3Q7LCZxdW90O0NvbHVtbjEwNiZxdW90OywmcXVvdDtDb2x1bW4xMDcmcXVvdDssJnF1b3Q7Q29sdW1uMTA4JnF1b3Q7LCZxdW90O0NvbHVtbjEwOSZxdW90OywmcXVvdDtDb2x1bW4xMTAmcXVvdDssJnF1b3Q7Q29sdW1uMTExJnF1b3Q7LCZxdW90O0NvbHVtbjExMiZxdW90OywmcXVvdDtDb2x1bW4xMTMmcXVvdDssJnF1b3Q7Q29sdW1uMTE0JnF1b3Q7LCZxdW90O0NvbHVtbjExNSZxdW90OywmcXVvdDtDb2x1bW4xMTYmcXVvdDssJnF1b3Q7Q29sdW1uMTE3JnF1b3Q7LCZxdW90O0NvbHVtbjExOCZxdW90OywmcXVvdDtDb2x1bW4xMTkmcXVvdDssJnF1b3Q7Q29sdW1uMTIwJnF1b3Q7LCZxdW90O0NvbHVtbjEyMSZxdW90OywmcXVvdDtDb2x1bW4xMjImcXVvdDssJnF1b3Q7Q29sdW1uMTIzJnF1b3Q7LCZxdW90O0NvbHVtbjEyNCZxdW90OywmcXVvdDtDb2x1bW4xMjUmcXVvdDssJnF1b3Q7Q29sdW1uMTI2JnF1b3Q7LCZxdW90O0NvbHVtbjEyNyZxdW90OywmcXVvdDtDb2x1bW4xMjgmcXVvdDssJnF1b3Q7Q29sdW1uMTI5JnF1b3Q7LCZxdW90O0NvbHVtbjEzMCZxdW90OywmcXVvdDtDb2x1bW4xMzEmcXVvdDssJnF1b3Q7Q29sdW1uMTMyJnF1b3Q7LCZxdW90O0NvbHVtbjEzMyZxdW90OywmcXVvdDtDb2x1bW4xMzQmcXVvdDssJnF1b3Q7Q29sdW1uMTM1JnF1b3Q7LCZxdW90O0NvbHVtbjEzNiZxdW90OywmcXVvdDtDb2x1bW4xMzcmcXVvdDssJnF1b3Q7Q29sdW1uMTM4JnF1b3Q7LCZxdW90O0NvbHVtbjEzOSZxdW90OywmcXVvdDtDb2x1bW4xNDAmcXVvdDssJnF1b3Q7Q29sdW1uMTQxJnF1b3Q7LCZxdW90O0NvbHVtbjE0MiZxdW90OywmcXVvdDtDb2x1bW4xNDMmcXVvdDssJnF1b3Q7Q29sdW1uMTQ0JnF1b3Q7LCZxdW90O0NvbHVtbjE0NSZxdW90OywmcXVvdDtDb2x1bW4xNDYmcXVvdDssJnF1b3Q7Q29sdW1uMTQ3JnF1b3Q7LCZxdW90O0NvbHVtbjE0OCZxdW90OywmcXVvdDtDb2x1bW4xNDkmcXVvdDssJnF1b3Q7Q29sdW1uMTUwJnF1b3Q7LCZxdW90O0NvbHVtbjE1MSZxdW90OywmcXVvdDtDb2x1bW4xNTImcXVvdDssJnF1b3Q7Q29sdW1uMTUzJnF1b3Q7LCZxdW90O0NvbHVtbjE1NCZxdW90OywmcXVvdDtDb2x1bW4xNTUmcXVvdDssJnF1b3Q7Q29sdW1uMTU2JnF1b3Q7LCZxdW90O0NvbHVtbjE1NyZxdW90OywmcXVvdDtDb2x1bW4xNTgmcXVvdDssJnF1b3Q7Q29sdW1uMTU5JnF1b3Q7LCZxdW90O0NvbHVtbjE2MCZxdW90OywmcXVvdDtDb2x1bW4xNjEmcXVvdDssJnF1b3Q7Q29sdW1uMTYyJnF1b3Q7LCZxdW90O0NvbHVtbjE2MyZxdW90OywmcXVvdDtDb2x1bW4xNjQmcXVvdDssJnF1b3Q7Q29sdW1uMTY1JnF1b3Q7LCZxdW90O0NvbHVtbjE2NiZxdW90OywmcXVvdDtDb2x1bW4xNjcmcXVvdDssJnF1b3Q7Q29sdW1uMTY4JnF1b3Q7LCZxdW90O0NvbHVtbjE2OSZxdW90OywmcXVvdDtDb2x1bW4xNzAmcXVvdDssJnF1b3Q7Q29sdW1uMTcxJnF1b3Q7LCZxdW90O0NvbHVtbjE3MiZxdW90OywmcXVvdDtDb2x1bW4xNzMmcXVvdDssJnF1b3Q7Q29sdW1uMTc0JnF1b3Q7LCZxdW90O0NvbHVtbjE3NSZxdW90OywmcXVvdDtDb2x1bW4xNzYmcXVvdDssJnF1b3Q7Q29sdW1uMTc3JnF1b3Q7LCZxdW90O0NvbHVtbjE3OCZxdW90OywmcXVvdDtDb2x1bW4xNzkmcXVvdDssJnF1b3Q7Q29sdW1uMTgwJnF1b3Q7LCZxdW90O0NvbHVtbjE4MSZxdW90OywmcXVvdDtDb2x1bW4xODImcXVvdDssJnF1b3Q7Q29sdW1uMTgzJnF1b3Q7LCZxdW90O0NvbHVtbjE4NCZxdW90OywmcXVvdDtDb2x1bW4xODUmcXVvdDssJnF1b3Q7Q29sdW1uMTg2JnF1b3Q7LCZxdW90O0NvbHVtbjE4NyZxdW90OywmcXVvdDtDb2x1bW4xODgmcXVvdDssJnF1b3Q7Q29sdW1uMTg5JnF1b3Q7LCZxdW90O0NvbHVtbjE5MCZxdW90OywmcXVvdDtDb2x1bW4xOTEmcXVvdDssJnF1b3Q7Q29sdW1uMTkyJnF1b3Q7LCZxdW90O0NvbHVtbjE5MyZxdW90OywmcXVvdDtDb2x1bW4xOTQmcXVvdDssJnF1b3Q7Q29sdW1uMTk1JnF1b3Q7LCZxdW90O0NvbHVtbjE5NiZxdW90OywmcXVvdDtDb2x1bW4xOTcmcXVvdDssJnF1b3Q7Q29sdW1uMTk4JnF1b3Q7LCZxdW90O0NvbHVtbjE5OSZxdW90OywmcXVvdDtDb2x1bW4yMDAmcXVvdDssJnF1b3Q7Q29sdW1uMjAxJnF1b3Q7LCZxdW90O0NvbHVtbjIwMiZxdW90OywmcXVvdDtDb2x1bW4yMDMmcXVvdDssJnF1b3Q7Q29sdW1uMjA0JnF1b3Q7LCZxdW90O0NvbHVtbjIwNSZxdW90OywmcXVvdDtDb2x1bW4yMDYmcXVvdDssJnF1b3Q7Q29sdW1uMjA3JnF1b3Q7LCZxdW90O0NvbHVtbjIwOCZxdW90OywmcXVvdDtDb2x1bW4yMDkmcXVvdDssJnF1b3Q7Q29sdW1uMjEwJnF1b3Q7LCZxdW90O0NvbHVtbjIxMSZxdW90OywmcXVvdDtDb2x1bW4yMTImcXVvdDssJnF1b3Q7Q29sdW1uMjEzJnF1b3Q7LCZxdW90O0NvbHVtbjIxNCZxdW90OywmcXVvdDtDb2x1bW4yMTUmcXVvdDssJnF1b3Q7Q29sdW1uMjE2JnF1b3Q7LCZxdW90O0NvbHVtbjIxNyZxdW90OywmcXVvdDtDb2x1bW4yMTgmcXVvdDssJnF1b3Q7Q29sdW1uMjE5JnF1b3Q7LCZxdW90O0NvbHVtbjIyMCZxdW90OywmcXVvdDtDb2x1bW4yMjEmcXVvdDssJnF1b3Q7Q29sdW1uMjIyJnF1b3Q7LCZxdW90O0NvbHVtbjIyMyZxdW90OywmcXVvdDtDb2x1bW4yMjQmcXVvdDssJnF1b3Q7Q29sdW1uMjI1JnF1b3Q7LCZxdW90O0NvbHVtbjIyNiZxdW90OywmcXVvdDtDb2x1bW4yMjcmcXVvdDssJnF1b3Q7Q29sdW1uMjI4JnF1b3Q7LCZxdW90O0NvbHVtbjIyOSZxdW90OywmcXVvdDtDb2x1bW4yMzAmcXVvdDssJnF1b3Q7Q29sdW1uMjMxJnF1b3Q7LCZxdW90O0NvbHVtbjIzMiZxdW90OywmcXVvdDtDb2x1bW4yMzMmcXVvdDssJnF1b3Q7Q29sdW1uMjM0JnF1b3Q7LCZxdW90O0NvbHVtbjIzNSZxdW90OywmcXVvdDtDb2x1bW4yMzYmcXVvdDssJnF1b3Q7Q29sdW1uMjM3JnF1b3Q7LCZxdW90O0NvbHVtbjIzOCZxdW90OywmcXVvdDtDb2x1bW4yMzkmcXVvdDssJnF1b3Q7Q29sdW1uMjQwJnF1b3Q7LCZxdW90O0NvbHVtbjI0MSZxdW90OywmcXVvdDtDb2x1bW4yNDImcXVvdDssJnF1b3Q7Q29sdW1uMjQzJnF1b3Q7LCZxdW90O0NvbHVtbjI0NCZxdW90OywmcXVvdDtDb2x1bW4yNDUmcXVvdDssJnF1b3Q7Q29sdW1uMjQ2JnF1b3Q7LCZxdW90O0NvbHVtbjI0NyZxdW90OywmcXVvdDtDb2x1bW4yNDgmcXVvdDssJnF1b3Q7Q29sdW1uMjQ5JnF1b3Q7LCZxdW90O0NvbHVtbjI1MCZxdW90OywmcXVvdDtDb2x1bW4yNTEmcXVvdDssJnF1b3Q7Q29sdW1uMjUyJnF1b3Q7LCZxdW90O0NvbHVtbjI1MyZxdW90OywmcXVvdDtDb2x1bW4yNTQmcXVvdDssJnF1b3Q7Q29sdW1uMjU1JnF1b3Q7LCZxdW90O0NvbHVtbjI1NiZxdW90OywmcXVvdDtDb2x1bW4yNTcmcXVvdDssJnF1b3Q7Q29sdW1uMjU4JnF1b3Q7LCZxdW90O0NvbHVtbjI1OSZxdW90OywmcXVvdDtDb2x1bW4yNjAmcXVvdDssJnF1b3Q7Q29sdW1uMjYxJnF1b3Q7LCZxdW90O0NvbHVtbjI2MiZxdW90OywmcXVvdDtDb2x1bW4yNjMmcXVvdDssJnF1b3Q7Q29sdW1uMjY0JnF1b3Q7LCZxdW90O0NvbHVtbjI2NSZxdW90OywmcXVvdDtDb2x1bW4yNjYmcXVvdDssJnF1b3Q7Q29sdW1uMjY3JnF1b3Q7LCZxdW90O0NvbHVtbjI2OCZxdW90OywmcXVvdDtDb2x1bW4yNjkmcXVvdDssJnF1b3Q7Q29sdW1uMjcwJnF1b3Q7LCZxdW90O0NvbHVtbjI3MSZxdW90OywmcXVvdDtDb2x1bW4yNzImcXVvdDssJnF1b3Q7Q29sdW1uMjczJnF1b3Q7LCZxdW90O0NvbHVtbjI3NCZxdW90OywmcXVvdDtDb2x1bW4yNzUmcXVvdDssJnF1b3Q7Q29sdW1uMjc2JnF1b3Q7LCZxdW90O0NvbHVtbjI3NyZxdW90OywmcXVvdDtDb2x1bW4yNzgmcXVvdDssJnF1b3Q7Q29sdW1uMjc5JnF1b3Q7LCZxdW90O0NvbHVtbjI4MCZxdW90OywmcXVvdDtDb2x1bW4yODEmcXVvdDssJnF1b3Q7Q29sdW1uMjgyJnF1b3Q7LCZxdW90O0NvbHVtbjI4MyZxdW90OywmcXVvdDtDb2x1bW4yODQmcXVvdDssJnF1b3Q7Q29sdW1uMjg1JnF1b3Q7LCZxdW90O0NvbHVtbjI4NiZxdW90OywmcXVvdDtDb2x1bW4yODcmcXVvdDssJnF1b3Q7Q29sdW1uMjg4JnF1b3Q7LCZxdW90O0NvbHVtbjI4OSZxdW90OywmcXVvdDtDb2x1bW4yOTAmcXVvdDssJnF1b3Q7Q29sdW1uMjkxJnF1b3Q7LCZxdW90O0NvbHVtbjI5MiZxdW90OywmcXVvdDtDb2x1bW4yOTMmcXVvdDssJnF1b3Q7Q29sdW1uMjk0JnF1b3Q7LCZxdW90O0NvbHVtbjI5NSZxdW90OywmcXVvdDtDb2x1bW4yOTYmcXVvdDssJnF1b3Q7Q29sdW1uMjk3JnF1b3Q7LCZxdW90O0NvbHVtbjI5OCZxdW90OywmcXVvdDtDb2x1bW4yOTkmcXVvdDssJnF1b3Q7Q29sdW1uMzAwJnF1b3Q7LCZxdW90O0NvbHVtbjMwMSZxdW90OywmcXVvdDtDb2x1bW4zMDImcXVvdDssJnF1b3Q7Q29sdW1uMzAzJnF1b3Q7LCZxdW90O0NvbHVtbjMwNCZxdW90OywmcXVvdDtDb2x1bW4zMDUmcXVvdDssJnF1b3Q7Q29sdW1uMzA2JnF1b3Q7LCZxdW90O0NvbHVtbjMwNyZxdW90OywmcXVvdDtDb2x1bW4zMDgmcXVvdDssJnF1b3Q7Q29sdW1uMzA5JnF1b3Q7LCZxdW90O0NvbHVtbjMxMCZxdW90OywmcXVvdDtDb2x1bW4zMTEmcXVvdDssJnF1b3Q7Q29sdW1uMzEyJnF1b3Q7LCZxdW90O0NvbHVtbjMxMyZxdW90OywmcXVvdDtDb2x1bW4zMTQmcXVvdDssJnF1b3Q7Q29sdW1uMzE1JnF1b3Q7LCZxdW90O0NvbHVtbjMxNiZxdW90OywmcXVvdDtDb2x1bW4zMTcmcXVvdDtdIiAvPjxFbnRyeSBUeXBlPSJGaWxsU3RhdHVzIiBWYWx1ZT0ic0NvbXBsZXRlIiAvPjxFbnRyeSBUeXBlPSJSZWxhdGlvbnNoaXBJbmZvQ29udGFpbmVyIiBWYWx1ZT0ic3smcXVvdDtjb2x1bW5Db3VudCZxdW90OzozMTcsJnF1b3Q7a2V5Q29sdW1uTmFtZXMmcXVvdDs6W10sJnF1b3Q7cXVlcnlSZWxhdGlvbnNoaXBzJnF1b3Q7OltdLCZxdW90O2NvbHVtbklkZW50aXRpZXMmcXVvdDs6WyZxdW90O1NlY3Rpb24xL21hcHBpbmdfYnVkZ2V0LVRCT193ZWlnaHRlZC9UeXBlIGdld2lqemlnZC57Q29sdW1uMSwwfSZxdW90OywmcXVvdDtTZWN0aW9uMS9tYXBwaW5nX2J1ZGdldC1UQk9fd2VpZ2h0ZWQvVHlwZSBnZXdpanppZ2Que0NvbHVtbjIsMX0mcXVvdDssJnF1b3Q7U2VjdGlvbjEvbWFwcGluZ19idWRnZXQtVEJPX3dlaWdodGVkL1R5cGUgZ2V3aWp6aWdkLntDb2x1bW4zLDJ9JnF1b3Q7LCZxdW90O1NlY3Rpb24xL21hcHBpbmdfYnVkZ2V0LVRCT193ZWlnaHRlZC9UeXBlIGdld2lqemlnZC57Q29sdW1uNCwzfSZxdW90OywmcXVvdDtTZWN0aW9uMS9tYXBwaW5nX2J1ZGdldC1UQk9fd2VpZ2h0ZWQvVHlwZSBnZXdpanppZ2Que0NvbHVtbjUsNH0mcXVvdDssJnF1b3Q7U2VjdGlvbjEvbWFwcGluZ19idWRnZXQtVEJPX3dlaWdodGVkL1R5cGUgZ2V3aWp6aWdkLntDb2x1bW42LDV9JnF1b3Q7LCZxdW90O1NlY3Rpb24xL21hcHBpbmdfYnVkZ2V0LVRCT193ZWlnaHRlZC9UeXBlIGdld2lqemlnZC57Q29sdW1uNyw2fSZxdW90OywmcXVvdDtTZWN0aW9uMS9tYXBwaW5nX2J1ZGdldC1UQk9fd2VpZ2h0ZWQvVHlwZSBnZXdpanppZ2Que0NvbHVtbjgsN30mcXVvdDssJnF1b3Q7U2VjdGlvbjEvbWFwcGluZ19idWRnZXQtVEJPX3dlaWdodGVkL1R5cGUgZ2V3aWp6aWdkLntDb2x1bW45LDh9JnF1b3Q7LCZxdW90O1NlY3Rpb24xL21hcHBpbmdfYnVkZ2V0LVRCT193ZWlnaHRlZC9UeXBlIGdld2lqemlnZC57Q29sdW1uMTAsOX0mcXVvdDssJnF1b3Q7U2VjdGlvbjEvbWFwcGluZ19idWRnZXQtVEJPX3dlaWdodGVkL1R5cGUgZ2V3aWp6aWdkLntDb2x1bW4xMSwxMH0mcXVvdDssJnF1b3Q7U2VjdGlvbjEvbWFwcGluZ19idWRnZXQtVEJPX3dlaWdodGVkL1R5cGUgZ2V3aWp6aWdkLntDb2x1bW4xMiwxMX0mcXVvdDssJnF1b3Q7U2VjdGlvbjEvbWFwcGluZ19idWRnZXQtVEJPX3dlaWdodGVkL1R5cGUgZ2V3aWp6aWdkLntDb2x1bW4xMywxMn0mcXVvdDssJnF1b3Q7U2VjdGlvbjEvbWFwcGluZ19idWRnZXQtVEJPX3dlaWdodGVkL1R5cGUgZ2V3aWp6aWdkLntDb2x1bW4xNCwxM30mcXVvdDssJnF1b3Q7U2VjdGlvbjEvbWFwcGluZ19idWRnZXQtVEJPX3dlaWdodGVkL1R5cGUgZ2V3aWp6aWdkLntDb2x1bW4xNSwxNH0mcXVvdDssJnF1b3Q7U2VjdGlvbjEvbWFwcGluZ19idWRnZXQtVEJPX3dlaWdodGVkL1R5cGUgZ2V3aWp6aWdkLntDb2x1bW4xNiwxNX0mcXVvdDssJnF1b3Q7U2VjdGlvbjEvbWFwcGluZ19idWRnZXQtVEJPX3dlaWdodGVkL1R5cGUgZ2V3aWp6aWdkLntDb2x1bW4xNywxNn0mcXVvdDssJnF1b3Q7U2VjdGlvbjEvbWFwcGluZ19idWRnZXQtVEJPX3dlaWdodGVkL1R5cGUgZ2V3aWp6aWdkLntDb2x1bW4xOCwxN30mcXVvdDssJnF1b3Q7U2VjdGlvbjEvbWFwcGluZ19idWRnZXQtVEJPX3dlaWdodGVkL1R5cGUgZ2V3aWp6aWdkLntDb2x1bW4xOSwxOH0mcXVvdDssJnF1b3Q7U2VjdGlvbjEvbWFwcGluZ19idWRnZXQtVEJPX3dlaWdodGVkL1R5cGUgZ2V3aWp6aWdkLntDb2x1bW4yMCwxOX0mcXVvdDssJnF1b3Q7U2VjdGlvbjEvbWFwcGluZ19idWRnZXQtVEJPX3dlaWdodGVkL1R5cGUgZ2V3aWp6aWdkLntDb2x1bW4yMSwyMH0mcXVvdDssJnF1b3Q7U2VjdGlvbjEvbWFwcGluZ19idWRnZXQtVEJPX3dlaWdodGVkL1R5cGUgZ2V3aWp6aWdkLntDb2x1bW4yMiwyMX0mcXVvdDssJnF1b3Q7U2VjdGlvbjEvbWFwcGluZ19idWRnZXQtVEJPX3dlaWdodGVkL1R5cGUgZ2V3aWp6aWdkLntDb2x1bW4yMywyMn0mcXVvdDssJnF1b3Q7U2VjdGlvbjEvbWFwcGluZ19idWRnZXQtVEJPX3dlaWdodGVkL1R5cGUgZ2V3aWp6aWdkLntDb2x1bW4yNCwyM30mcXVvdDssJnF1b3Q7U2VjdGlvbjEvbWFwcGluZ19idWRnZXQtVEJPX3dlaWdodGVkL1R5cGUgZ2V3aWp6aWdkLntDb2x1bW4yNSwyNH0mcXVvdDssJnF1b3Q7U2VjdGlvbjEvbWFwcGluZ19idWRnZXQtVEJPX3dlaWdodGVkL1R5cGUgZ2V3aWp6aWdkLntDb2x1bW4yNiwyNX0mcXVvdDssJnF1b3Q7U2VjdGlvbjEvbWFwcGluZ19idWRnZXQtVEJPX3dlaWdodGVkL1R5cGUgZ2V3aWp6aWdkLntDb2x1bW4yNywyNn0mcXVvdDssJnF1b3Q7U2VjdGlvbjEvbWFwcGluZ19idWRnZXQtVEJPX3dlaWdodGVkL1R5cGUgZ2V3aWp6aWdkLntDb2x1bW4yOCwyN30mcXVvdDssJnF1b3Q7U2VjdGlvbjEvbWFwcGluZ19idWRnZXQtVEJPX3dlaWdodGVkL1R5cGUgZ2V3aWp6aWdkLntDb2x1bW4yOSwyOH0mcXVvdDssJnF1b3Q7U2VjdGlvbjEvbWFwcGluZ19idWRnZXQtVEJPX3dlaWdodGVkL1R5cGUgZ2V3aWp6aWdkLntDb2x1bW4zMCwyOX0mcXVvdDssJnF1b3Q7U2VjdGlvbjEvbWFwcGluZ19idWRnZXQtVEJPX3dlaWdodGVkL1R5cGUgZ2V3aWp6aWdkLntDb2x1bW4zMSwzMH0mcXVvdDssJnF1b3Q7U2VjdGlvbjEvbWFwcGluZ19idWRnZXQtVEJPX3dlaWdodGVkL1R5cGUgZ2V3aWp6aWdkLntDb2x1bW4zMiwzMX0mcXVvdDssJnF1b3Q7U2VjdGlvbjEvbWFwcGluZ19idWRnZXQtVEJPX3dlaWdodGVkL1R5cGUgZ2V3aWp6aWdkLntDb2x1bW4zMywzMn0mcXVvdDssJnF1b3Q7U2VjdGlvbjEvbWFwcGluZ19idWRnZXQtVEJPX3dlaWdodGVkL1R5cGUgZ2V3aWp6aWdkLntDb2x1bW4zNCwzM30mcXVvdDssJnF1b3Q7U2VjdGlvbjEvbWFwcGluZ19idWRnZXQtVEJPX3dlaWdodGVkL1R5cGUgZ2V3aWp6aWdkLntDb2x1bW4zNSwzNH0mcXVvdDssJnF1b3Q7U2VjdGlvbjEvbWFwcGluZ19idWRnZXQtVEJPX3dlaWdodGVkL1R5cGUgZ2V3aWp6aWdkLntDb2x1bW4zNiwzNX0mcXVvdDssJnF1b3Q7U2VjdGlvbjEvbWFwcGluZ19idWRnZXQtVEJPX3dlaWdodGVkL1R5cGUgZ2V3aWp6aWdkLntDb2x1bW4zNywzNn0mcXVvdDssJnF1b3Q7U2VjdGlvbjEvbWFwcGluZ19idWRnZXQtVEJPX3dlaWdodGVkL1R5cGUgZ2V3aWp6aWdkLntDb2x1bW4zOCwzN30mcXVvdDssJnF1b3Q7U2VjdGlvbjEvbWFwcGluZ19idWRnZXQtVEJPX3dlaWdodGVkL1R5cGUgZ2V3aWp6aWdkLntDb2x1bW4zOSwzOH0mcXVvdDssJnF1b3Q7U2VjdGlvbjEvbWFwcGluZ19idWRnZXQtVEJPX3dlaWdodGVkL1R5cGUgZ2V3aWp6aWdkLntDb2x1bW40MCwzOX0mcXVvdDssJnF1b3Q7U2VjdGlvbjEvbWFwcGluZ19idWRnZXQtVEJPX3dlaWdodGVkL1R5cGUgZ2V3aWp6aWdkLntDb2x1bW40MSw0MH0mcXVvdDssJnF1b3Q7U2VjdGlvbjEvbWFwcGluZ19idWRnZXQtVEJPX3dlaWdodGVkL1R5cGUgZ2V3aWp6aWdkLntDb2x1bW40Miw0MX0mcXVvdDssJnF1b3Q7U2VjdGlvbjEvbWFwcGluZ19idWRnZXQtVEJPX3dlaWdodGVkL1R5cGUgZ2V3aWp6aWdkLntDb2x1bW40Myw0Mn0mcXVvdDssJnF1b3Q7U2VjdGlvbjEvbWFwcGluZ19idWRnZXQtVEJPX3dlaWdodGVkL1R5cGUgZ2V3aWp6aWdkLntDb2x1bW40NCw0M30mcXVvdDssJnF1b3Q7U2VjdGlvbjEvbWFwcGluZ19idWRnZXQtVEJPX3dlaWdodGVkL1R5cGUgZ2V3aWp6aWdkLntDb2x1bW40NSw0NH0mcXVvdDssJnF1b3Q7U2VjdGlvbjEvbWFwcGluZ19idWRnZXQtVEJPX3dlaWdodGVkL1R5cGUgZ2V3aWp6aWdkLntDb2x1bW40Niw0NX0mcXVvdDssJnF1b3Q7U2VjdGlvbjEvbWFwcGluZ19idWRnZXQtVEJPX3dlaWdodGVkL1R5cGUgZ2V3aWp6aWdkLntDb2x1bW40Nyw0Nn0mcXVvdDssJnF1b3Q7U2VjdGlvbjEvbWFwcGluZ19idWRnZXQtVEJPX3dlaWdodGVkL1R5cGUgZ2V3aWp6aWdkLntDb2x1bW40OCw0N30mcXVvdDssJnF1b3Q7U2VjdGlvbjEvbWFwcGluZ19idWRnZXQtVEJPX3dlaWdodGVkL1R5cGUgZ2V3aWp6aWdkLntDb2x1bW40OSw0OH0mcXVvdDssJnF1b3Q7U2VjdGlvbjEvbWFwcGluZ19idWRnZXQtVEJPX3dlaWdodGVkL1R5cGUgZ2V3aWp6aWdkLntDb2x1bW41MCw0OX0mcXVvdDssJnF1b3Q7U2VjdGlvbjEvbWFwcGluZ19idWRnZXQtVEJPX3dlaWdodGVkL1R5cGUgZ2V3aWp6aWdkLntDb2x1bW41MSw1MH0mcXVvdDssJnF1b3Q7U2VjdGlvbjEvbWFwcGluZ19idWRnZXQtVEJPX3dlaWdodGVkL1R5cGUgZ2V3aWp6aWdkLntDb2x1bW41Miw1MX0mcXVvdDssJnF1b3Q7U2VjdGlvbjEvbWFwcGluZ19idWRnZXQtVEJPX3dlaWdodGVkL1R5cGUgZ2V3aWp6aWdkLntDb2x1bW41Myw1Mn0mcXVvdDssJnF1b3Q7U2VjdGlvbjEvbWFwcGluZ19idWRnZXQtVEJPX3dlaWdodGVkL1R5cGUgZ2V3aWp6aWdkLntDb2x1bW41NCw1M30mcXVvdDssJnF1b3Q7U2VjdGlvbjEvbWFwcGluZ19idWRnZXQtVEJPX3dlaWdodGVkL1R5cGUgZ2V3aWp6aWdkLntDb2x1bW41NSw1NH0mcXVvdDssJnF1b3Q7U2VjdGlvbjEvbWFwcGluZ19idWRnZXQtVEJPX3dlaWdodGVkL1R5cGUgZ2V3aWp6aWdkLntDb2x1bW41Niw1NX0mcXVvdDssJnF1b3Q7U2VjdGlvbjEvbWFwcGluZ19idWRnZXQtVEJPX3dlaWdodGVkL1R5cGUgZ2V3aWp6aWdkLntDb2x1bW41Nyw1Nn0mcXVvdDssJnF1b3Q7U2VjdGlvbjEvbWFwcGluZ19idWRnZXQtVEJPX3dlaWdodGVkL1R5cGUgZ2V3aWp6aWdkLntDb2x1bW41OCw1N30mcXVvdDssJnF1b3Q7U2VjdGlvbjEvbWFwcGluZ19idWRnZXQtVEJPX3dlaWdodGVkL1R5cGUgZ2V3aWp6aWdkLntDb2x1bW41OSw1OH0mcXVvdDssJnF1b3Q7U2VjdGlvbjEvbWFwcGluZ19idWRnZXQtVEJPX3dlaWdodGVkL1R5cGUgZ2V3aWp6aWdkLntDb2x1bW42MCw1OX0mcXVvdDssJnF1b3Q7U2VjdGlvbjEvbWFwcGluZ19idWRnZXQtVEJPX3dlaWdodGVkL1R5cGUgZ2V3aWp6aWdkLntDb2x1bW42MSw2MH0mcXVvdDssJnF1b3Q7U2VjdGlvbjEvbWFwcGluZ19idWRnZXQtVEJPX3dlaWdodGVkL1R5cGUgZ2V3aWp6aWdkLntDb2x1bW42Miw2MX0mcXVvdDssJnF1b3Q7U2VjdGlvbjEvbWFwcGluZ19idWRnZXQtVEJPX3dlaWdodGVkL1R5cGUgZ2V3aWp6aWdkLntDb2x1bW42Myw2Mn0mcXVvdDssJnF1b3Q7U2VjdGlvbjEvbWFwcGluZ19idWRnZXQtVEJPX3dlaWdodGVkL1R5cGUgZ2V3aWp6aWdkLntDb2x1bW42NCw2M30mcXVvdDssJnF1b3Q7U2VjdGlvbjEvbWFwcGluZ19idWRnZXQtVEJPX3dlaWdodGVkL1R5cGUgZ2V3aWp6aWdkLntDb2x1bW42NSw2NH0mcXVvdDssJnF1b3Q7U2VjdGlvbjEvbWFwcGluZ19idWRnZXQtVEJPX3dlaWdodGVkL1R5cGUgZ2V3aWp6aWdkLntDb2x1bW42Niw2NX0mcXVvdDssJnF1b3Q7U2VjdGlvbjEvbWFwcGluZ19idWRnZXQtVEJPX3dlaWdodGVkL1R5cGUgZ2V3aWp6aWdkLntDb2x1bW42Nyw2Nn0mcXVvdDssJnF1b3Q7U2VjdGlvbjEvbWFwcGluZ19idWRnZXQtVEJPX3dlaWdodGVkL1R5cGUgZ2V3aWp6aWdkLntDb2x1bW42OCw2N30mcXVvdDssJnF1b3Q7U2VjdGlvbjEvbWFwcGluZ19idWRnZXQtVEJPX3dlaWdodGVkL1R5cGUgZ2V3aWp6aWdkLntDb2x1bW42OSw2OH0mcXVvdDssJnF1b3Q7U2VjdGlvbjEvbWFwcGluZ19idWRnZXQtVEJPX3dlaWdodGVkL1R5cGUgZ2V3aWp6aWdkLntDb2x1bW43MCw2OX0mcXVvdDssJnF1b3Q7U2VjdGlvbjEvbWFwcGluZ19idWRnZXQtVEJPX3dlaWdodGVkL1R5cGUgZ2V3aWp6aWdkLntDb2x1bW43MSw3MH0mcXVvdDssJnF1b3Q7U2VjdGlvbjEvbWFwcGluZ19idWRnZXQtVEJPX3dlaWdodGVkL1R5cGUgZ2V3aWp6aWdkLntDb2x1bW43Miw3MX0mcXVvdDssJnF1b3Q7U2VjdGlvbjEvbWFwcGluZ19idWRnZXQtVEJPX3dlaWdodGVkL1R5cGUgZ2V3aWp6aWdkLntDb2x1bW43Myw3Mn0mcXVvdDssJnF1b3Q7U2VjdGlvbjEvbWFwcGluZ19idWRnZXQtVEJPX3dlaWdodGVkL1R5cGUgZ2V3aWp6aWdkLntDb2x1bW43NCw3M30mcXVvdDssJnF1b3Q7U2VjdGlvbjEvbWFwcGluZ19idWRnZXQtVEJPX3dlaWdodGVkL1R5cGUgZ2V3aWp6aWdkLntDb2x1bW43NSw3NH0mcXVvdDssJnF1b3Q7U2VjdGlvbjEvbWFwcGluZ19idWRnZXQtVEJPX3dlaWdodGVkL1R5cGUgZ2V3aWp6aWdkLntDb2x1bW43Niw3NX0mcXVvdDssJnF1b3Q7U2VjdGlvbjEvbWFwcGluZ19idWRnZXQtVEJPX3dlaWdodGVkL1R5cGUgZ2V3aWp6aWdkLntDb2x1bW43Nyw3Nn0mcXVvdDssJnF1b3Q7U2VjdGlvbjEvbWFwcGluZ19idWRnZXQtVEJPX3dlaWdodGVkL1R5cGUgZ2V3aWp6aWdkLntDb2x1bW43OCw3N30mcXVvdDssJnF1b3Q7U2VjdGlvbjEvbWFwcGluZ19idWRnZXQtVEJPX3dlaWdodGVkL1R5cGUgZ2V3aWp6aWdkLntDb2x1bW43OSw3OH0mcXVvdDssJnF1b3Q7U2VjdGlvbjEvbWFwcGluZ19idWRnZXQtVEJPX3dlaWdodGVkL1R5cGUgZ2V3aWp6aWdkLntDb2x1bW44MCw3OX0mcXVvdDssJnF1b3Q7U2VjdGlvbjEvbWFwcGluZ19idWRnZXQtVEJPX3dlaWdodGVkL1R5cGUgZ2V3aWp6aWdkLntDb2x1bW44MSw4MH0mcXVvdDssJnF1b3Q7U2VjdGlvbjEvbWFwcGluZ19idWRnZXQtVEJPX3dlaWdodGVkL1R5cGUgZ2V3aWp6aWdkLntDb2x1bW44Miw4MX0mcXVvdDssJnF1b3Q7U2VjdGlvbjEvbWFwcGluZ19idWRnZXQtVEJPX3dlaWdodGVkL1R5cGUgZ2V3aWp6aWdkLntDb2x1bW44Myw4Mn0mcXVvdDssJnF1b3Q7U2VjdGlvbjEvbWFwcGluZ19idWRnZXQtVEJPX3dlaWdodGVkL1R5cGUgZ2V3aWp6aWdkLntDb2x1bW44NCw4M30mcXVvdDssJnF1b3Q7U2VjdGlvbjEvbWFwcGluZ19idWRnZXQtVEJPX3dlaWdodGVkL1R5cGUgZ2V3aWp6aWdkLntDb2x1bW44NSw4NH0mcXVvdDssJnF1b3Q7U2VjdGlvbjEvbWFwcGluZ19idWRnZXQtVEJPX3dlaWdodGVkL1R5cGUgZ2V3aWp6aWdkLntDb2x1bW44Niw4NX0mcXVvdDssJnF1b3Q7U2VjdGlvbjEvbWFwcGluZ19idWRnZXQtVEJPX3dlaWdodGVkL1R5cGUgZ2V3aWp6aWdkLntDb2x1bW44Nyw4Nn0mcXVvdDssJnF1b3Q7U2VjdGlvbjEvbWFwcGluZ19idWRnZXQtVEJPX3dlaWdodGVkL1R5cGUgZ2V3aWp6aWdkLntDb2x1bW44OCw4N30mcXVvdDssJnF1b3Q7U2VjdGlvbjEvbWFwcGluZ19idWRnZXQtVEJPX3dlaWdodGVkL1R5cGUgZ2V3aWp6aWdkLntDb2x1bW44OSw4OH0mcXVvdDssJnF1b3Q7U2VjdGlvbjEvbWFwcGluZ19idWRnZXQtVEJPX3dlaWdodGVkL1R5cGUgZ2V3aWp6aWdkLntDb2x1bW45MCw4OX0mcXVvdDssJnF1b3Q7U2VjdGlvbjEvbWFwcGluZ19idWRnZXQtVEJPX3dlaWdodGVkL1R5cGUgZ2V3aWp6aWdkLntDb2x1bW45MSw5MH0mcXVvdDssJnF1b3Q7U2VjdGlvbjEvbWFwcGluZ19idWRnZXQtVEJPX3dlaWdodGVkL1R5cGUgZ2V3aWp6aWdkLntDb2x1bW45Miw5MX0mcXVvdDssJnF1b3Q7U2VjdGlvbjEvbWFwcGluZ19idWRnZXQtVEJPX3dlaWdodGVkL1R5cGUgZ2V3aWp6aWdkLntDb2x1bW45Myw5Mn0mcXVvdDssJnF1b3Q7U2VjdGlvbjEvbWFwcGluZ19idWRnZXQtVEJPX3dlaWdodGVkL1R5cGUgZ2V3aWp6aWdkLntDb2x1bW45NCw5M30mcXVvdDssJnF1b3Q7U2VjdGlvbjEvbWFwcGluZ19idWRnZXQtVEJPX3dlaWdodGVkL1R5cGUgZ2V3aWp6aWdkLntDb2x1bW45NSw5NH0mcXVvdDssJnF1b3Q7U2VjdGlvbjEvbWFwcGluZ19idWRnZXQtVEJPX3dlaWdodGVkL1R5cGUgZ2V3aWp6aWdkLntDb2x1bW45Niw5NX0mcXVvdDssJnF1b3Q7U2VjdGlvbjEvbWFwcGluZ19idWRnZXQtVEJPX3dlaWdodGVkL1R5cGUgZ2V3aWp6aWdkLntDb2x1bW45Nyw5Nn0mcXVvdDssJnF1b3Q7U2VjdGlvbjEvbWFwcGluZ19idWRnZXQtVEJPX3dlaWdodGVkL1R5cGUgZ2V3aWp6aWdkLntDb2x1bW45OCw5N30mcXVvdDssJnF1b3Q7U2VjdGlvbjEvbWFwcGluZ19idWRnZXQtVEJPX3dlaWdodGVkL1R5cGUgZ2V3aWp6aWdkLntDb2x1bW45OSw5OH0mcXVvdDssJnF1b3Q7U2VjdGlvbjEvbWFwcGluZ19idWRnZXQtVEJPX3dlaWdodGVkL1R5cGUgZ2V3aWp6aWdkLntDb2x1bW4xMDAsOTl9JnF1b3Q7LCZxdW90O1NlY3Rpb24xL21hcHBpbmdfYnVkZ2V0LVRCT193ZWlnaHRlZC9UeXBlIGdld2lqemlnZC57Q29sdW1uMTAxLDEwMH0mcXVvdDssJnF1b3Q7U2VjdGlvbjEvbWFwcGluZ19idWRnZXQtVEJPX3dlaWdodGVkL1R5cGUgZ2V3aWp6aWdkLntDb2x1bW4xMDIsMTAxfSZxdW90OywmcXVvdDtTZWN0aW9uMS9tYXBwaW5nX2J1ZGdldC1UQk9fd2VpZ2h0ZWQvVHlwZSBnZXdpanppZ2Que0NvbHVtbjEwMywxMDJ9JnF1b3Q7LCZxdW90O1NlY3Rpb24xL21hcHBpbmdfYnVkZ2V0LVRCT193ZWlnaHRlZC9UeXBlIGdld2lqemlnZC57Q29sdW1uMTA0LDEwM30mcXVvdDssJnF1b3Q7U2VjdGlvbjEvbWFwcGluZ19idWRnZXQtVEJPX3dlaWdodGVkL1R5cGUgZ2V3aWp6aWdkLntDb2x1bW4xMDUsMTA0fSZxdW90OywmcXVvdDtTZWN0aW9uMS9tYXBwaW5nX2J1ZGdldC1UQk9fd2VpZ2h0ZWQvVHlwZSBnZXdpanppZ2Que0NvbHVtbjEwNiwxMDV9JnF1b3Q7LCZxdW90O1NlY3Rpb24xL21hcHBpbmdfYnVkZ2V0LVRCT193ZWlnaHRlZC9UeXBlIGdld2lqemlnZC57Q29sdW1uMTA3LDEwNn0mcXVvdDssJnF1b3Q7U2VjdGlvbjEvbWFwcGluZ19idWRnZXQtVEJPX3dlaWdodGVkL1R5cGUgZ2V3aWp6aWdkLntDb2x1bW4xMDgsMTA3fSZxdW90OywmcXVvdDtTZWN0aW9uMS9tYXBwaW5nX2J1ZGdldC1UQk9fd2VpZ2h0ZWQvVHlwZSBnZXdpanppZ2Que0NvbHVtbjEwOSwxMDh9JnF1b3Q7LCZxdW90O1NlY3Rpb24xL21hcHBpbmdfYnVkZ2V0LVRCT193ZWlnaHRlZC9UeXBlIGdld2lqemlnZC57Q29sdW1uMTEwLDEwOX0mcXVvdDssJnF1b3Q7U2VjdGlvbjEvbWFwcGluZ19idWRnZXQtVEJPX3dlaWdodGVkL1R5cGUgZ2V3aWp6aWdkLntDb2x1bW4xMTEsMTEwfSZxdW90OywmcXVvdDtTZWN0aW9uMS9tYXBwaW5nX2J1ZGdldC1UQk9fd2VpZ2h0ZWQvVHlwZSBnZXdpanppZ2Que0NvbHVtbjExMiwxMTF9JnF1b3Q7LCZxdW90O1NlY3Rpb24xL21hcHBpbmdfYnVkZ2V0LVRCT193ZWlnaHRlZC9UeXBlIGdld2lqemlnZC57Q29sdW1uMTEzLDExMn0mcXVvdDssJnF1b3Q7U2VjdGlvbjEvbWFwcGluZ19idWRnZXQtVEJPX3dlaWdodGVkL1R5cGUgZ2V3aWp6aWdkLntDb2x1bW4xMTQsMTEzfSZxdW90OywmcXVvdDtTZWN0aW9uMS9tYXBwaW5nX2J1ZGdldC1UQk9fd2VpZ2h0ZWQvVHlwZSBnZXdpanppZ2Que0NvbHVtbjExNSwxMTR9JnF1b3Q7LCZxdW90O1NlY3Rpb24xL21hcHBpbmdfYnVkZ2V0LVRCT193ZWlnaHRlZC9UeXBlIGdld2lqemlnZC57Q29sdW1uMTE2LDExNX0mcXVvdDssJnF1b3Q7U2VjdGlvbjEvbWFwcGluZ19idWRnZXQtVEJPX3dlaWdodGVkL1R5cGUgZ2V3aWp6aWdkLntDb2x1bW4xMTcsMTE2fSZxdW90OywmcXVvdDtTZWN0aW9uMS9tYXBwaW5nX2J1ZGdldC1UQk9fd2VpZ2h0ZWQvVHlwZSBnZXdpanppZ2Que0NvbHVtbjExOCwxMTd9JnF1b3Q7LCZxdW90O1NlY3Rpb24xL21hcHBpbmdfYnVkZ2V0LVRCT193ZWlnaHRlZC9UeXBlIGdld2lqemlnZC57Q29sdW1uMTE5LDExOH0mcXVvdDssJnF1b3Q7U2VjdGlvbjEvbWFwcGluZ19idWRnZXQtVEJPX3dlaWdodGVkL1R5cGUgZ2V3aWp6aWdkLntDb2x1bW4xMjAsMTE5fSZxdW90OywmcXVvdDtTZWN0aW9uMS9tYXBwaW5nX2J1ZGdldC1UQk9fd2VpZ2h0ZWQvVHlwZSBnZXdpanppZ2Que0NvbHVtbjEyMSwxMjB9JnF1b3Q7LCZxdW90O1NlY3Rpb24xL21hcHBpbmdfYnVkZ2V0LVRCT193ZWlnaHRlZC9UeXBlIGdld2lqemlnZC57Q29sdW1uMTIyLDEyMX0mcXVvdDssJnF1b3Q7U2VjdGlvbjEvbWFwcGluZ19idWRnZXQtVEJPX3dlaWdodGVkL1R5cGUgZ2V3aWp6aWdkLntDb2x1bW4xMjMsMTIyfSZxdW90OywmcXVvdDtTZWN0aW9uMS9tYXBwaW5nX2J1ZGdldC1UQk9fd2VpZ2h0ZWQvVHlwZSBnZXdpanppZ2Que0NvbHVtbjEyNCwxMjN9JnF1b3Q7LCZxdW90O1NlY3Rpb24xL21hcHBpbmdfYnVkZ2V0LVRCT193ZWlnaHRlZC9UeXBlIGdld2lqemlnZC57Q29sdW1uMTI1LDEyNH0mcXVvdDssJnF1b3Q7U2VjdGlvbjEvbWFwcGluZ19idWRnZXQtVEJPX3dlaWdodGVkL1R5cGUgZ2V3aWp6aWdkLntDb2x1bW4xMjYsMTI1fSZxdW90OywmcXVvdDtTZWN0aW9uMS9tYXBwaW5nX2J1ZGdldC1UQk9fd2VpZ2h0ZWQvVHlwZSBnZXdpanppZ2Que0NvbHVtbjEyNywxMjZ9JnF1b3Q7LCZxdW90O1NlY3Rpb24xL21hcHBpbmdfYnVkZ2V0LVRCT193ZWlnaHRlZC9UeXBlIGdld2lqemlnZC57Q29sdW1uMTI4LDEyN30mcXVvdDssJnF1b3Q7U2VjdGlvbjEvbWFwcGluZ19idWRnZXQtVEJPX3dlaWdodGVkL1R5cGUgZ2V3aWp6aWdkLntDb2x1bW4xMjksMTI4fSZxdW90OywmcXVvdDtTZWN0aW9uMS9tYXBwaW5nX2J1ZGdldC1UQk9fd2VpZ2h0ZWQvVHlwZSBnZXdpanppZ2Que0NvbHVtbjEzMCwxMjl9JnF1b3Q7LCZxdW90O1NlY3Rpb24xL21hcHBpbmdfYnVkZ2V0LVRCT193ZWlnaHRlZC9UeXBlIGdld2lqemlnZC57Q29sdW1uMTMxLDEzMH0mcXVvdDssJnF1b3Q7U2VjdGlvbjEvbWFwcGluZ19idWRnZXQtVEJPX3dlaWdodGVkL1R5cGUgZ2V3aWp6aWdkLntDb2x1bW4xMzIsMTMxfSZxdW90OywmcXVvdDtTZWN0aW9uMS9tYXBwaW5nX2J1ZGdldC1UQk9fd2VpZ2h0ZWQvVHlwZSBnZXdpanppZ2Que0NvbHVtbjEzMywxMzJ9JnF1b3Q7LCZxdW90O1NlY3Rpb24xL21hcHBpbmdfYnVkZ2V0LVRCT193ZWlnaHRlZC9UeXBlIGdld2lqemlnZC57Q29sdW1uMTM0LDEzM30mcXVvdDssJnF1b3Q7U2VjdGlvbjEvbWFwcGluZ19idWRnZXQtVEJPX3dlaWdodGVkL1R5cGUgZ2V3aWp6aWdkLntDb2x1bW4xMzUsMTM0fSZxdW90OywmcXVvdDtTZWN0aW9uMS9tYXBwaW5nX2J1ZGdldC1UQk9fd2VpZ2h0ZWQvVHlwZSBnZXdpanppZ2Que0NvbHVtbjEzNiwxMzV9JnF1b3Q7LCZxdW90O1NlY3Rpb24xL21hcHBpbmdfYnVkZ2V0LVRCT193ZWlnaHRlZC9UeXBlIGdld2lqemlnZC57Q29sdW1uMTM3LDEzNn0mcXVvdDssJnF1b3Q7U2VjdGlvbjEvbWFwcGluZ19idWRnZXQtVEJPX3dlaWdodGVkL1R5cGUgZ2V3aWp6aWdkLntDb2x1bW4xMzgsMTM3fSZxdW90OywmcXVvdDtTZWN0aW9uMS9tYXBwaW5nX2J1ZGdldC1UQk9fd2VpZ2h0ZWQvVHlwZSBnZXdpanppZ2Que0NvbHVtbjEzOSwxMzh9JnF1b3Q7LCZxdW90O1NlY3Rpb24xL21hcHBpbmdfYnVkZ2V0LVRCT193ZWlnaHRlZC9UeXBlIGdld2lqemlnZC57Q29sdW1uMTQwLDEzOX0mcXVvdDssJnF1b3Q7U2VjdGlvbjEvbWFwcGluZ19idWRnZXQtVEJPX3dlaWdodGVkL1R5cGUgZ2V3aWp6aWdkLntDb2x1bW4xNDEsMTQwfSZxdW90OywmcXVvdDtTZWN0aW9uMS9tYXBwaW5nX2J1ZGdldC1UQk9fd2VpZ2h0ZWQvVHlwZSBnZXdpanppZ2Que0NvbHVtbjE0MiwxNDF9JnF1b3Q7LCZxdW90O1NlY3Rpb24xL21hcHBpbmdfYnVkZ2V0LVRCT193ZWlnaHRlZC9UeXBlIGdld2lqemlnZC57Q29sdW1uMTQzLDE0Mn0mcXVvdDssJnF1b3Q7U2VjdGlvbjEvbWFwcGluZ19idWRnZXQtVEJPX3dlaWdodGVkL1R5cGUgZ2V3aWp6aWdkLntDb2x1bW4xNDQsMTQzfSZxdW90OywmcXVvdDtTZWN0aW9uMS9tYXBwaW5nX2J1ZGdldC1UQk9fd2VpZ2h0ZWQvVHlwZSBnZXdpanppZ2Que0NvbHVtbjE0NSwxNDR9JnF1b3Q7LCZxdW90O1NlY3Rpb24xL21hcHBpbmdfYnVkZ2V0LVRCT193ZWlnaHRlZC9UeXBlIGdld2lqemlnZC57Q29sdW1uMTQ2LDE0NX0mcXVvdDssJnF1b3Q7U2VjdGlvbjEvbWFwcGluZ19idWRnZXQtVEJPX3dlaWdodGVkL1R5cGUgZ2V3aWp6aWdkLntDb2x1bW4xNDcsMTQ2fSZxdW90OywmcXVvdDtTZWN0aW9uMS9tYXBwaW5nX2J1ZGdldC1UQk9fd2VpZ2h0ZWQvVHlwZSBnZXdpanppZ2Que0NvbHVtbjE0OCwxNDd9JnF1b3Q7LCZxdW90O1NlY3Rpb24xL21hcHBpbmdfYnVkZ2V0LVRCT193ZWlnaHRlZC9UeXBlIGdld2lqemlnZC57Q29sdW1uMTQ5LDE0OH0mcXVvdDssJnF1b3Q7U2VjdGlvbjEvbWFwcGluZ19idWRnZXQtVEJPX3dlaWdodGVkL1R5cGUgZ2V3aWp6aWdkLntDb2x1bW4xNTAsMTQ5fSZxdW90OywmcXVvdDtTZWN0aW9uMS9tYXBwaW5nX2J1ZGdldC1UQk9fd2VpZ2h0ZWQvVHlwZSBnZXdpanppZ2Que0NvbHVtbjE1MSwxNTB9JnF1b3Q7LCZxdW90O1NlY3Rpb24xL21hcHBpbmdfYnVkZ2V0LVRCT193ZWlnaHRlZC9UeXBlIGdld2lqemlnZC57Q29sdW1uMTUyLDE1MX0mcXVvdDssJnF1b3Q7U2VjdGlvbjEvbWFwcGluZ19idWRnZXQtVEJPX3dlaWdodGVkL1R5cGUgZ2V3aWp6aWdkLntDb2x1bW4xNTMsMTUyfSZxdW90OywmcXVvdDtTZWN0aW9uMS9tYXBwaW5nX2J1ZGdldC1UQk9fd2VpZ2h0ZWQvVHlwZSBnZXdpanppZ2Que0NvbHVtbjE1NCwxNTN9JnF1b3Q7LCZxdW90O1NlY3Rpb24xL21hcHBpbmdfYnVkZ2V0LVRCT193ZWlnaHRlZC9UeXBlIGdld2lqemlnZC57Q29sdW1uMTU1LDE1NH0mcXVvdDssJnF1b3Q7U2VjdGlvbjEvbWFwcGluZ19idWRnZXQtVEJPX3dlaWdodGVkL1R5cGUgZ2V3aWp6aWdkLntDb2x1bW4xNTYsMTU1fSZxdW90OywmcXVvdDtTZWN0aW9uMS9tYXBwaW5nX2J1ZGdldC1UQk9fd2VpZ2h0ZWQvVHlwZSBnZXdpanppZ2Que0NvbHVtbjE1NywxNTZ9JnF1b3Q7LCZxdW90O1NlY3Rpb24xL21hcHBpbmdfYnVkZ2V0LVRCT193ZWlnaHRlZC9UeXBlIGdld2lqemlnZC57Q29sdW1uMTU4LDE1N30mcXVvdDssJnF1b3Q7U2VjdGlvbjEvbWFwcGluZ19idWRnZXQtVEJPX3dlaWdodGVkL1R5cGUgZ2V3aWp6aWdkLntDb2x1bW4xNTksMTU4fSZxdW90OywmcXVvdDtTZWN0aW9uMS9tYXBwaW5nX2J1ZGdldC1UQk9fd2VpZ2h0ZWQvVHlwZSBnZXdpanppZ2Que0NvbHVtbjE2MCwxNTl9JnF1b3Q7LCZxdW90O1NlY3Rpb24xL21hcHBpbmdfYnVkZ2V0LVRCT193ZWlnaHRlZC9UeXBlIGdld2lqemlnZC57Q29sdW1uMTYxLDE2MH0mcXVvdDssJnF1b3Q7U2VjdGlvbjEvbWFwcGluZ19idWRnZXQtVEJPX3dlaWdodGVkL1R5cGUgZ2V3aWp6aWdkLntDb2x1bW4xNjIsMTYxfSZxdW90OywmcXVvdDtTZWN0aW9uMS9tYXBwaW5nX2J1ZGdldC1UQk9fd2VpZ2h0ZWQvVHlwZSBnZXdpanppZ2Que0NvbHVtbjE2MywxNjJ9JnF1b3Q7LCZxdW90O1NlY3Rpb24xL21hcHBpbmdfYnVkZ2V0LVRCT193ZWlnaHRlZC9UeXBlIGdld2lqemlnZC57Q29sdW1uMTY0LDE2M30mcXVvdDssJnF1b3Q7U2VjdGlvbjEvbWFwcGluZ19idWRnZXQtVEJPX3dlaWdodGVkL1R5cGUgZ2V3aWp6aWdkLntDb2x1bW4xNjUsMTY0fSZxdW90OywmcXVvdDtTZWN0aW9uMS9tYXBwaW5nX2J1ZGdldC1UQk9fd2VpZ2h0ZWQvVHlwZSBnZXdpanppZ2Que0NvbHVtbjE2NiwxNjV9JnF1b3Q7LCZxdW90O1NlY3Rpb24xL21hcHBpbmdfYnVkZ2V0LVRCT193ZWlnaHRlZC9UeXBlIGdld2lqemlnZC57Q29sdW1uMTY3LDE2Nn0mcXVvdDssJnF1b3Q7U2VjdGlvbjEvbWFwcGluZ19idWRnZXQtVEJPX3dlaWdodGVkL1R5cGUgZ2V3aWp6aWdkLntDb2x1bW4xNjgsMTY3fSZxdW90OywmcXVvdDtTZWN0aW9uMS9tYXBwaW5nX2J1ZGdldC1UQk9fd2VpZ2h0ZWQvVHlwZSBnZXdpanppZ2Que0NvbHVtbjE2OSwxNjh9JnF1b3Q7LCZxdW90O1NlY3Rpb24xL21hcHBpbmdfYnVkZ2V0LVRCT193ZWlnaHRlZC9UeXBlIGdld2lqemlnZC57Q29sdW1uMTcwLDE2OX0mcXVvdDssJnF1b3Q7U2VjdGlvbjEvbWFwcGluZ19idWRnZXQtVEJPX3dlaWdodGVkL1R5cGUgZ2V3aWp6aWdkLntDb2x1bW4xNzEsMTcwfSZxdW90OywmcXVvdDtTZWN0aW9uMS9tYXBwaW5nX2J1ZGdldC1UQk9fd2VpZ2h0ZWQvVHlwZSBnZXdpanppZ2Que0NvbHVtbjE3MiwxNzF9JnF1b3Q7LCZxdW90O1NlY3Rpb24xL21hcHBpbmdfYnVkZ2V0LVRCT193ZWlnaHRlZC9UeXBlIGdld2lqemlnZC57Q29sdW1uMTczLDE3Mn0mcXVvdDssJnF1b3Q7U2VjdGlvbjEvbWFwcGluZ19idWRnZXQtVEJPX3dlaWdodGVkL1R5cGUgZ2V3aWp6aWdkLntDb2x1bW4xNzQsMTczfSZxdW90OywmcXVvdDtTZWN0aW9uMS9tYXBwaW5nX2J1ZGdldC1UQk9fd2VpZ2h0ZWQvVHlwZSBnZXdpanppZ2Que0NvbHVtbjE3NSwxNzR9JnF1b3Q7LCZxdW90O1NlY3Rpb24xL21hcHBpbmdfYnVkZ2V0LVRCT193ZWlnaHRlZC9UeXBlIGdld2lqemlnZC57Q29sdW1uMTc2LDE3NX0mcXVvdDssJnF1b3Q7U2VjdGlvbjEvbWFwcGluZ19idWRnZXQtVEJPX3dlaWdodGVkL1R5cGUgZ2V3aWp6aWdkLntDb2x1bW4xNzcsMTc2fSZxdW90OywmcXVvdDtTZWN0aW9uMS9tYXBwaW5nX2J1ZGdldC1UQk9fd2VpZ2h0ZWQvVHlwZSBnZXdpanppZ2Que0NvbHVtbjE3OCwxNzd9JnF1b3Q7LCZxdW90O1NlY3Rpb24xL21hcHBpbmdfYnVkZ2V0LVRCT193ZWlnaHRlZC9UeXBlIGdld2lqemlnZC57Q29sdW1uMTc5LDE3OH0mcXVvdDssJnF1b3Q7U2VjdGlvbjEvbWFwcGluZ19idWRnZXQtVEJPX3dlaWdodGVkL1R5cGUgZ2V3aWp6aWdkLntDb2x1bW4xODAsMTc5fSZxdW90OywmcXVvdDtTZWN0aW9uMS9tYXBwaW5nX2J1ZGdldC1UQk9fd2VpZ2h0ZWQvVHlwZSBnZXdpanppZ2Que0NvbHVtbjE4MSwxODB9JnF1b3Q7LCZxdW90O1NlY3Rpb24xL21hcHBpbmdfYnVkZ2V0LVRCT193ZWlnaHRlZC9UeXBlIGdld2lqemlnZC57Q29sdW1uMTgyLDE4MX0mcXVvdDssJnF1b3Q7U2VjdGlvbjEvbWFwcGluZ19idWRnZXQtVEJPX3dlaWdodGVkL1R5cGUgZ2V3aWp6aWdkLntDb2x1bW4xODMsMTgyfSZxdW90OywmcXVvdDtTZWN0aW9uMS9tYXBwaW5nX2J1ZGdldC1UQk9fd2VpZ2h0ZWQvVHlwZSBnZXdpanppZ2Que0NvbHVtbjE4NCwxODN9JnF1b3Q7LCZxdW90O1NlY3Rpb24xL21hcHBpbmdfYnVkZ2V0LVRCT193ZWlnaHRlZC9UeXBlIGdld2lqemlnZC57Q29sdW1uMTg1LDE4NH0mcXVvdDssJnF1b3Q7U2VjdGlvbjEvbWFwcGluZ19idWRnZXQtVEJPX3dlaWdodGVkL1R5cGUgZ2V3aWp6aWdkLntDb2x1bW4xODYsMTg1fSZxdW90OywmcXVvdDtTZWN0aW9uMS9tYXBwaW5nX2J1ZGdldC1UQk9fd2VpZ2h0ZWQvVHlwZSBnZXdpanppZ2Que0NvbHVtbjE4NywxODZ9JnF1b3Q7LCZxdW90O1NlY3Rpb24xL21hcHBpbmdfYnVkZ2V0LVRCT193ZWlnaHRlZC9UeXBlIGdld2lqemlnZC57Q29sdW1uMTg4LDE4N30mcXVvdDssJnF1b3Q7U2VjdGlvbjEvbWFwcGluZ19idWRnZXQtVEJPX3dlaWdodGVkL1R5cGUgZ2V3aWp6aWdkLntDb2x1bW4xODksMTg4fSZxdW90OywmcXVvdDtTZWN0aW9uMS9tYXBwaW5nX2J1ZGdldC1UQk9fd2VpZ2h0ZWQvVHlwZSBnZXdpanppZ2Que0NvbHVtbjE5MCwxODl9JnF1b3Q7LCZxdW90O1NlY3Rpb24xL21hcHBpbmdfYnVkZ2V0LVRCT193ZWlnaHRlZC9UeXBlIGdld2lqemlnZC57Q29sdW1uMTkxLDE5MH0mcXVvdDssJnF1b3Q7U2VjdGlvbjEvbWFwcGluZ19idWRnZXQtVEJPX3dlaWdodGVkL1R5cGUgZ2V3aWp6aWdkLntDb2x1bW4xOTIsMTkxfSZxdW90OywmcXVvdDtTZWN0aW9uMS9tYXBwaW5nX2J1ZGdldC1UQk9fd2VpZ2h0ZWQvVHlwZSBnZXdpanppZ2Que0NvbHVtbjE5MywxOTJ9JnF1b3Q7LCZxdW90O1NlY3Rpb24xL21hcHBpbmdfYnVkZ2V0LVRCT193ZWlnaHRlZC9UeXBlIGdld2lqemlnZC57Q29sdW1uMTk0LDE5M30mcXVvdDssJnF1b3Q7U2VjdGlvbjEvbWFwcGluZ19idWRnZXQtVEJPX3dlaWdodGVkL1R5cGUgZ2V3aWp6aWdkLntDb2x1bW4xOTUsMTk0fSZxdW90OywmcXVvdDtTZWN0aW9uMS9tYXBwaW5nX2J1ZGdldC1UQk9fd2VpZ2h0ZWQvVHlwZSBnZXdpanppZ2Que0NvbHVtbjE5NiwxOTV9JnF1b3Q7LCZxdW90O1NlY3Rpb24xL21hcHBpbmdfYnVkZ2V0LVRCT193ZWlnaHRlZC9UeXBlIGdld2lqemlnZC57Q29sdW1uMTk3LDE5Nn0mcXVvdDssJnF1b3Q7U2VjdGlvbjEvbWFwcGluZ19idWRnZXQtVEJPX3dlaWdodGVkL1R5cGUgZ2V3aWp6aWdkLntDb2x1bW4xOTgsMTk3fSZxdW90OywmcXVvdDtTZWN0aW9uMS9tYXBwaW5nX2J1ZGdldC1UQk9fd2VpZ2h0ZWQvVHlwZSBnZXdpanppZ2Que0NvbHVtbjE5OSwxOTh9JnF1b3Q7LCZxdW90O1NlY3Rpb24xL21hcHBpbmdfYnVkZ2V0LVRCT193ZWlnaHRlZC9UeXBlIGdld2lqemlnZC57Q29sdW1uMjAwLDE5OX0mcXVvdDssJnF1b3Q7U2VjdGlvbjEvbWFwcGluZ19idWRnZXQtVEJPX3dlaWdodGVkL1R5cGUgZ2V3aWp6aWdkLntDb2x1bW4yMDEsMjAwfSZxdW90OywmcXVvdDtTZWN0aW9uMS9tYXBwaW5nX2J1ZGdldC1UQk9fd2VpZ2h0ZWQvVHlwZSBnZXdpanppZ2Que0NvbHVtbjIwMiwyMDF9JnF1b3Q7LCZxdW90O1NlY3Rpb24xL21hcHBpbmdfYnVkZ2V0LVRCT193ZWlnaHRlZC9UeXBlIGdld2lqemlnZC57Q29sdW1uMjAzLDIwMn0mcXVvdDssJnF1b3Q7U2VjdGlvbjEvbWFwcGluZ19idWRnZXQtVEJPX3dlaWdodGVkL1R5cGUgZ2V3aWp6aWdkLntDb2x1bW4yMDQsMjAzfSZxdW90OywmcXVvdDtTZWN0aW9uMS9tYXBwaW5nX2J1ZGdldC1UQk9fd2VpZ2h0ZWQvVHlwZSBnZXdpanppZ2Que0NvbHVtbjIwNSwyMDR9JnF1b3Q7LCZxdW90O1NlY3Rpb24xL21hcHBpbmdfYnVkZ2V0LVRCT193ZWlnaHRlZC9UeXBlIGdld2lqemlnZC57Q29sdW1uMjA2LDIwNX0mcXVvdDssJnF1b3Q7U2VjdGlvbjEvbWFwcGluZ19idWRnZXQtVEJPX3dlaWdodGVkL1R5cGUgZ2V3aWp6aWdkLntDb2x1bW4yMDcsMjA2fSZxdW90OywmcXVvdDtTZWN0aW9uMS9tYXBwaW5nX2J1ZGdldC1UQk9fd2VpZ2h0ZWQvVHlwZSBnZXdpanppZ2Que0NvbHVtbjIwOCwyMDd9JnF1b3Q7LCZxdW90O1NlY3Rpb24xL21hcHBpbmdfYnVkZ2V0LVRCT193ZWlnaHRlZC9UeXBlIGdld2lqemlnZC57Q29sdW1uMjA5LDIwOH0mcXVvdDssJnF1b3Q7U2VjdGlvbjEvbWFwcGluZ19idWRnZXQtVEJPX3dlaWdodGVkL1R5cGUgZ2V3aWp6aWdkLntDb2x1bW4yMTAsMjA5fSZxdW90OywmcXVvdDtTZWN0aW9uMS9tYXBwaW5nX2J1ZGdldC1UQk9fd2VpZ2h0ZWQvVHlwZSBnZXdpanppZ2Que0NvbHVtbjIxMSwyMTB9JnF1b3Q7LCZxdW90O1NlY3Rpb24xL21hcHBpbmdfYnVkZ2V0LVRCT193ZWlnaHRlZC9UeXBlIGdld2lqemlnZC57Q29sdW1uMjEyLDIxMX0mcXVvdDssJnF1b3Q7U2VjdGlvbjEvbWFwcGluZ19idWRnZXQtVEJPX3dlaWdodGVkL1R5cGUgZ2V3aWp6aWdkLntDb2x1bW4yMTMsMjEyfSZxdW90OywmcXVvdDtTZWN0aW9uMS9tYXBwaW5nX2J1ZGdldC1UQk9fd2VpZ2h0ZWQvVHlwZSBnZXdpanppZ2Que0NvbHVtbjIxNCwyMTN9JnF1b3Q7LCZxdW90O1NlY3Rpb24xL21hcHBpbmdfYnVkZ2V0LVRCT193ZWlnaHRlZC9UeXBlIGdld2lqemlnZC57Q29sdW1uMjE1LDIxNH0mcXVvdDssJnF1b3Q7U2VjdGlvbjEvbWFwcGluZ19idWRnZXQtVEJPX3dlaWdodGVkL1R5cGUgZ2V3aWp6aWdkLntDb2x1bW4yMTYsMjE1fSZxdW90OywmcXVvdDtTZWN0aW9uMS9tYXBwaW5nX2J1ZGdldC1UQk9fd2VpZ2h0ZWQvVHlwZSBnZXdpanppZ2Que0NvbHVtbjIxNywyMTZ9JnF1b3Q7LCZxdW90O1NlY3Rpb24xL21hcHBpbmdfYnVkZ2V0LVRCT193ZWlnaHRlZC9UeXBlIGdld2lqemlnZC57Q29sdW1uMjE4LDIxN30mcXVvdDssJnF1b3Q7U2VjdGlvbjEvbWFwcGluZ19idWRnZXQtVEJPX3dlaWdodGVkL1R5cGUgZ2V3aWp6aWdkLntDb2x1bW4yMTksMjE4fSZxdW90OywmcXVvdDtTZWN0aW9uMS9tYXBwaW5nX2J1ZGdldC1UQk9fd2VpZ2h0ZWQvVHlwZSBnZXdpanppZ2Que0NvbHVtbjIyMCwyMTl9JnF1b3Q7LCZxdW90O1NlY3Rpb24xL21hcHBpbmdfYnVkZ2V0LVRCT193ZWlnaHRlZC9UeXBlIGdld2lqemlnZC57Q29sdW1uMjIxLDIyMH0mcXVvdDssJnF1b3Q7U2VjdGlvbjEvbWFwcGluZ19idWRnZXQtVEJPX3dlaWdodGVkL1R5cGUgZ2V3aWp6aWdkLntDb2x1bW4yMjIsMjIxfSZxdW90OywmcXVvdDtTZWN0aW9uMS9tYXBwaW5nX2J1ZGdldC1UQk9fd2VpZ2h0ZWQvVHlwZSBnZXdpanppZ2Que0NvbHVtbjIyMywyMjJ9JnF1b3Q7LCZxdW90O1NlY3Rpb24xL21hcHBpbmdfYnVkZ2V0LVRCT193ZWlnaHRlZC9UeXBlIGdld2lqemlnZC57Q29sdW1uMjI0LDIyM30mcXVvdDssJnF1b3Q7U2VjdGlvbjEvbWFwcGluZ19idWRnZXQtVEJPX3dlaWdodGVkL1R5cGUgZ2V3aWp6aWdkLntDb2x1bW4yMjUsMjI0fSZxdW90OywmcXVvdDtTZWN0aW9uMS9tYXBwaW5nX2J1ZGdldC1UQk9fd2VpZ2h0ZWQvVHlwZSBnZXdpanppZ2Que0NvbHVtbjIyNiwyMjV9JnF1b3Q7LCZxdW90O1NlY3Rpb24xL21hcHBpbmdfYnVkZ2V0LVRCT193ZWlnaHRlZC9UeXBlIGdld2lqemlnZC57Q29sdW1uMjI3LDIyNn0mcXVvdDssJnF1b3Q7U2VjdGlvbjEvbWFwcGluZ19idWRnZXQtVEJPX3dlaWdodGVkL1R5cGUgZ2V3aWp6aWdkLntDb2x1bW4yMjgsMjI3fSZxdW90OywmcXVvdDtTZWN0aW9uMS9tYXBwaW5nX2J1ZGdldC1UQk9fd2VpZ2h0ZWQvVHlwZSBnZXdpanppZ2Que0NvbHVtbjIyOSwyMjh9JnF1b3Q7LCZxdW90O1NlY3Rpb24xL21hcHBpbmdfYnVkZ2V0LVRCT193ZWlnaHRlZC9UeXBlIGdld2lqemlnZC57Q29sdW1uMjMwLDIyOX0mcXVvdDssJnF1b3Q7U2VjdGlvbjEvbWFwcGluZ19idWRnZXQtVEJPX3dlaWdodGVkL1R5cGUgZ2V3aWp6aWdkLntDb2x1bW4yMzEsMjMwfSZxdW90OywmcXVvdDtTZWN0aW9uMS9tYXBwaW5nX2J1ZGdldC1UQk9fd2VpZ2h0ZWQvVHlwZSBnZXdpanppZ2Que0NvbHVtbjIzMiwyMzF9JnF1b3Q7LCZxdW90O1NlY3Rpb24xL21hcHBpbmdfYnVkZ2V0LVRCT193ZWlnaHRlZC9UeXBlIGdld2lqemlnZC57Q29sdW1uMjMzLDIzMn0mcXVvdDssJnF1b3Q7U2VjdGlvbjEvbWFwcGluZ19idWRnZXQtVEJPX3dlaWdodGVkL1R5cGUgZ2V3aWp6aWdkLntDb2x1bW4yMzQsMjMzfSZxdW90OywmcXVvdDtTZWN0aW9uMS9tYXBwaW5nX2J1ZGdldC1UQk9fd2VpZ2h0ZWQvVHlwZSBnZXdpanppZ2Que0NvbHVtbjIzNSwyMzR9JnF1b3Q7LCZxdW90O1NlY3Rpb24xL21hcHBpbmdfYnVkZ2V0LVRCT193ZWlnaHRlZC9UeXBlIGdld2lqemlnZC57Q29sdW1uMjM2LDIzNX0mcXVvdDssJnF1b3Q7U2VjdGlvbjEvbWFwcGluZ19idWRnZXQtVEJPX3dlaWdodGVkL1R5cGUgZ2V3aWp6aWdkLntDb2x1bW4yMzcsMjM2fSZxdW90OywmcXVvdDtTZWN0aW9uMS9tYXBwaW5nX2J1ZGdldC1UQk9fd2VpZ2h0ZWQvVHlwZSBnZXdpanppZ2Que0NvbHVtbjIzOCwyMzd9JnF1b3Q7LCZxdW90O1NlY3Rpb24xL21hcHBpbmdfYnVkZ2V0LVRCT193ZWlnaHRlZC9UeXBlIGdld2lqemlnZC57Q29sdW1uMjM5LDIzOH0mcXVvdDssJnF1b3Q7U2VjdGlvbjEvbWFwcGluZ19idWRnZXQtVEJPX3dlaWdodGVkL1R5cGUgZ2V3aWp6aWdkLntDb2x1bW4yNDAsMjM5fSZxdW90OywmcXVvdDtTZWN0aW9uMS9tYXBwaW5nX2J1ZGdldC1UQk9fd2VpZ2h0ZWQvVHlwZSBnZXdpanppZ2Que0NvbHVtbjI0MSwyNDB9JnF1b3Q7LCZxdW90O1NlY3Rpb24xL21hcHBpbmdfYnVkZ2V0LVRCT193ZWlnaHRlZC9UeXBlIGdld2lqemlnZC57Q29sdW1uMjQyLDI0MX0mcXVvdDssJnF1b3Q7U2VjdGlvbjEvbWFwcGluZ19idWRnZXQtVEJPX3dlaWdodGVkL1R5cGUgZ2V3aWp6aWdkLntDb2x1bW4yNDMsMjQyfSZxdW90OywmcXVvdDtTZWN0aW9uMS9tYXBwaW5nX2J1ZGdldC1UQk9fd2VpZ2h0ZWQvVHlwZSBnZXdpanppZ2Que0NvbHVtbjI0NCwyNDN9JnF1b3Q7LCZxdW90O1NlY3Rpb24xL21hcHBpbmdfYnVkZ2V0LVRCT193ZWlnaHRlZC9UeXBlIGdld2lqemlnZC57Q29sdW1uMjQ1LDI0NH0mcXVvdDssJnF1b3Q7U2VjdGlvbjEvbWFwcGluZ19idWRnZXQtVEJPX3dlaWdodGVkL1R5cGUgZ2V3aWp6aWdkLntDb2x1bW4yNDYsMjQ1fSZxdW90OywmcXVvdDtTZWN0aW9uMS9tYXBwaW5nX2J1ZGdldC1UQk9fd2VpZ2h0ZWQvVHlwZSBnZXdpanppZ2Que0NvbHVtbjI0NywyNDZ9JnF1b3Q7LCZxdW90O1NlY3Rpb24xL21hcHBpbmdfYnVkZ2V0LVRCT193ZWlnaHRlZC9UeXBlIGdld2lqemlnZC57Q29sdW1uMjQ4LDI0N30mcXVvdDssJnF1b3Q7U2VjdGlvbjEvbWFwcGluZ19idWRnZXQtVEJPX3dlaWdodGVkL1R5cGUgZ2V3aWp6aWdkLntDb2x1bW4yNDksMjQ4fSZxdW90OywmcXVvdDtTZWN0aW9uMS9tYXBwaW5nX2J1ZGdldC1UQk9fd2VpZ2h0ZWQvVHlwZSBnZXdpanppZ2Que0NvbHVtbjI1MCwyNDl9JnF1b3Q7LCZxdW90O1NlY3Rpb24xL21hcHBpbmdfYnVkZ2V0LVRCT193ZWlnaHRlZC9UeXBlIGdld2lqemlnZC57Q29sdW1uMjUxLDI1MH0mcXVvdDssJnF1b3Q7U2VjdGlvbjEvbWFwcGluZ19idWRnZXQtVEJPX3dlaWdodGVkL1R5cGUgZ2V3aWp6aWdkLntDb2x1bW4yNTIsMjUxfSZxdW90OywmcXVvdDtTZWN0aW9uMS9tYXBwaW5nX2J1ZGdldC1UQk9fd2VpZ2h0ZWQvVHlwZSBnZXdpanppZ2Que0NvbHVtbjI1MywyNTJ9JnF1b3Q7LCZxdW90O1NlY3Rpb24xL21hcHBpbmdfYnVkZ2V0LVRCT193ZWlnaHRlZC9UeXBlIGdld2lqemlnZC57Q29sdW1uMjU0LDI1M30mcXVvdDssJnF1b3Q7U2VjdGlvbjEvbWFwcGluZ19idWRnZXQtVEJPX3dlaWdodGVkL1R5cGUgZ2V3aWp6aWdkLntDb2x1bW4yNTUsMjU0fSZxdW90OywmcXVvdDtTZWN0aW9uMS9tYXBwaW5nX2J1ZGdldC1UQk9fd2VpZ2h0ZWQvVHlwZSBnZXdpanppZ2Que0NvbHVtbjI1NiwyNTV9JnF1b3Q7LCZxdW90O1NlY3Rpb24xL21hcHBpbmdfYnVkZ2V0LVRCT193ZWlnaHRlZC9UeXBlIGdld2lqemlnZC57Q29sdW1uMjU3LDI1Nn0mcXVvdDssJnF1b3Q7U2VjdGlvbjEvbWFwcGluZ19idWRnZXQtVEJPX3dlaWdodGVkL1R5cGUgZ2V3aWp6aWdkLntDb2x1bW4yNTgsMjU3fSZxdW90OywmcXVvdDtTZWN0aW9uMS9tYXBwaW5nX2J1ZGdldC1UQk9fd2VpZ2h0ZWQvVHlwZSBnZXdpanppZ2Que0NvbHVtbjI1OSwyNTh9JnF1b3Q7LCZxdW90O1NlY3Rpb24xL21hcHBpbmdfYnVkZ2V0LVRCT193ZWlnaHRlZC9UeXBlIGdld2lqemlnZC57Q29sdW1uMjYwLDI1OX0mcXVvdDssJnF1b3Q7U2VjdGlvbjEvbWFwcGluZ19idWRnZXQtVEJPX3dlaWdodGVkL1R5cGUgZ2V3aWp6aWdkLntDb2x1bW4yNjEsMjYwfSZxdW90OywmcXVvdDtTZWN0aW9uMS9tYXBwaW5nX2J1ZGdldC1UQk9fd2VpZ2h0ZWQvVHlwZSBnZXdpanppZ2Que0NvbHVtbjI2MiwyNjF9JnF1b3Q7LCZxdW90O1NlY3Rpb24xL21hcHBpbmdfYnVkZ2V0LVRCT193ZWlnaHRlZC9UeXBlIGdld2lqemlnZC57Q29sdW1uMjYzLDI2Mn0mcXVvdDssJnF1b3Q7U2VjdGlvbjEvbWFwcGluZ19idWRnZXQtVEJPX3dlaWdodGVkL1R5cGUgZ2V3aWp6aWdkLntDb2x1bW4yNjQsMjYzfSZxdW90OywmcXVvdDtTZWN0aW9uMS9tYXBwaW5nX2J1ZGdldC1UQk9fd2VpZ2h0ZWQvVHlwZSBnZXdpanppZ2Que0NvbHVtbjI2NSwyNjR9JnF1b3Q7LCZxdW90O1NlY3Rpb24xL21hcHBpbmdfYnVkZ2V0LVRCT193ZWlnaHRlZC9UeXBlIGdld2lqemlnZC57Q29sdW1uMjY2LDI2NX0mcXVvdDssJnF1b3Q7U2VjdGlvbjEvbWFwcGluZ19idWRnZXQtVEJPX3dlaWdodGVkL1R5cGUgZ2V3aWp6aWdkLntDb2x1bW4yNjcsMjY2fSZxdW90OywmcXVvdDtTZWN0aW9uMS9tYXBwaW5nX2J1ZGdldC1UQk9fd2VpZ2h0ZWQvVHlwZSBnZXdpanppZ2Que0NvbHVtbjI2OCwyNjd9JnF1b3Q7LCZxdW90O1NlY3Rpb24xL21hcHBpbmdfYnVkZ2V0LVRCT193ZWlnaHRlZC9UeXBlIGdld2lqemlnZC57Q29sdW1uMjY5LDI2OH0mcXVvdDssJnF1b3Q7U2VjdGlvbjEvbWFwcGluZ19idWRnZXQtVEJPX3dlaWdodGVkL1R5cGUgZ2V3aWp6aWdkLntDb2x1bW4yNzAsMjY5fSZxdW90OywmcXVvdDtTZWN0aW9uMS9tYXBwaW5nX2J1ZGdldC1UQk9fd2VpZ2h0ZWQvVHlwZSBnZXdpanppZ2Que0NvbHVtbjI3MSwyNzB9JnF1b3Q7LCZxdW90O1NlY3Rpb24xL21hcHBpbmdfYnVkZ2V0LVRCT193ZWlnaHRlZC9UeXBlIGdld2lqemlnZC57Q29sdW1uMjcyLDI3MX0mcXVvdDssJnF1b3Q7U2VjdGlvbjEvbWFwcGluZ19idWRnZXQtVEJPX3dlaWdodGVkL1R5cGUgZ2V3aWp6aWdkLntDb2x1bW4yNzMsMjcyfSZxdW90OywmcXVvdDtTZWN0aW9uMS9tYXBwaW5nX2J1ZGdldC1UQk9fd2VpZ2h0ZWQvVHlwZSBnZXdpanppZ2Que0NvbHVtbjI3NCwyNzN9JnF1b3Q7LCZxdW90O1NlY3Rpb24xL21hcHBpbmdfYnVkZ2V0LVRCT193ZWlnaHRlZC9UeXBlIGdld2lqemlnZC57Q29sdW1uMjc1LDI3NH0mcXVvdDssJnF1b3Q7U2VjdGlvbjEvbWFwcGluZ19idWRnZXQtVEJPX3dlaWdodGVkL1R5cGUgZ2V3aWp6aWdkLntDb2x1bW4yNzYsMjc1fSZxdW90OywmcXVvdDtTZWN0aW9uMS9tYXBwaW5nX2J1ZGdldC1UQk9fd2VpZ2h0ZWQvVHlwZSBnZXdpanppZ2Que0NvbHVtbjI3NywyNzZ9JnF1b3Q7LCZxdW90O1NlY3Rpb24xL21hcHBpbmdfYnVkZ2V0LVRCT193ZWlnaHRlZC9UeXBlIGdld2lqemlnZC57Q29sdW1uMjc4LDI3N30mcXVvdDssJnF1b3Q7U2VjdGlvbjEvbWFwcGluZ19idWRnZXQtVEJPX3dlaWdodGVkL1R5cGUgZ2V3aWp6aWdkLntDb2x1bW4yNzksMjc4fSZxdW90OywmcXVvdDtTZWN0aW9uMS9tYXBwaW5nX2J1ZGdldC1UQk9fd2VpZ2h0ZWQvVHlwZSBnZXdpanppZ2Que0NvbHVtbjI4MCwyNzl9JnF1b3Q7LCZxdW90O1NlY3Rpb24xL21hcHBpbmdfYnVkZ2V0LVRCT193ZWlnaHRlZC9UeXBlIGdld2lqemlnZC57Q29sdW1uMjgxLDI4MH0mcXVvdDssJnF1b3Q7U2VjdGlvbjEvbWFwcGluZ19idWRnZXQtVEJPX3dlaWdodGVkL1R5cGUgZ2V3aWp6aWdkLntDb2x1bW4yODIsMjgxfSZxdW90OywmcXVvdDtTZWN0aW9uMS9tYXBwaW5nX2J1ZGdldC1UQk9fd2VpZ2h0ZWQvVHlwZSBnZXdpanppZ2Que0NvbHVtbjI4MywyODJ9JnF1b3Q7LCZxdW90O1NlY3Rpb24xL21hcHBpbmdfYnVkZ2V0LVRCT193ZWlnaHRlZC9UeXBlIGdld2lqemlnZC57Q29sdW1uMjg0LDI4M30mcXVvdDssJnF1b3Q7U2VjdGlvbjEvbWFwcGluZ19idWRnZXQtVEJPX3dlaWdodGVkL1R5cGUgZ2V3aWp6aWdkLntDb2x1bW4yODUsMjg0fSZxdW90OywmcXVvdDtTZWN0aW9uMS9tYXBwaW5nX2J1ZGdldC1UQk9fd2VpZ2h0ZWQvVHlwZSBnZXdpanppZ2Que0NvbHVtbjI4NiwyODV9JnF1b3Q7LCZxdW90O1NlY3Rpb24xL21hcHBpbmdfYnVkZ2V0LVRCT193ZWlnaHRlZC9UeXBlIGdld2lqemlnZC57Q29sdW1uMjg3LDI4Nn0mcXVvdDssJnF1b3Q7U2VjdGlvbjEvbWFwcGluZ19idWRnZXQtVEJPX3dlaWdodGVkL1R5cGUgZ2V3aWp6aWdkLntDb2x1bW4yODgsMjg3fSZxdW90OywmcXVvdDtTZWN0aW9uMS9tYXBwaW5nX2J1ZGdldC1UQk9fd2VpZ2h0ZWQvVHlwZSBnZXdpanppZ2Que0NvbHVtbjI4OSwyODh9JnF1b3Q7LCZxdW90O1NlY3Rpb24xL21hcHBpbmdfYnVkZ2V0LVRCT193ZWlnaHRlZC9UeXBlIGdld2lqemlnZC57Q29sdW1uMjkwLDI4OX0mcXVvdDssJnF1b3Q7U2VjdGlvbjEvbWFwcGluZ19idWRnZXQtVEJPX3dlaWdodGVkL1R5cGUgZ2V3aWp6aWdkLntDb2x1bW4yOTEsMjkwfSZxdW90OywmcXVvdDtTZWN0aW9uMS9tYXBwaW5nX2J1ZGdldC1UQk9fd2VpZ2h0ZWQvVHlwZSBnZXdpanppZ2Que0NvbHVtbjI5MiwyOTF9JnF1b3Q7LCZxdW90O1NlY3Rpb24xL21hcHBpbmdfYnVkZ2V0LVRCT193ZWlnaHRlZC9UeXBlIGdld2lqemlnZC57Q29sdW1uMjkzLDI5Mn0mcXVvdDssJnF1b3Q7U2VjdGlvbjEvbWFwcGluZ19idWRnZXQtVEJPX3dlaWdodGVkL1R5cGUgZ2V3aWp6aWdkLntDb2x1bW4yOTQsMjkzfSZxdW90OywmcXVvdDtTZWN0aW9uMS9tYXBwaW5nX2J1ZGdldC1UQk9fd2VpZ2h0ZWQvVHlwZSBnZXdpanppZ2Que0NvbHVtbjI5NSwyOTR9JnF1b3Q7LCZxdW90O1NlY3Rpb24xL21hcHBpbmdfYnVkZ2V0LVRCT193ZWlnaHRlZC9UeXBlIGdld2lqemlnZC57Q29sdW1uMjk2LDI5NX0mcXVvdDssJnF1b3Q7U2VjdGlvbjEvbWFwcGluZ19idWRnZXQtVEJPX3dlaWdodGVkL1R5cGUgZ2V3aWp6aWdkLntDb2x1bW4yOTcsMjk2fSZxdW90OywmcXVvdDtTZWN0aW9uMS9tYXBwaW5nX2J1ZGdldC1UQk9fd2VpZ2h0ZWQvVHlwZSBnZXdpanppZ2Que0NvbHVtbjI5OCwyOTd9JnF1b3Q7LCZxdW90O1NlY3Rpb24xL21hcHBpbmdfYnVkZ2V0LVRCT193ZWlnaHRlZC9UeXBlIGdld2lqemlnZC57Q29sdW1uMjk5LDI5OH0mcXVvdDssJnF1b3Q7U2VjdGlvbjEvbWFwcGluZ19idWRnZXQtVEJPX3dlaWdodGVkL1R5cGUgZ2V3aWp6aWdkLntDb2x1bW4zMDAsMjk5fSZxdW90OywmcXVvdDtTZWN0aW9uMS9tYXBwaW5nX2J1ZGdldC1UQk9fd2VpZ2h0ZWQvVHlwZSBnZXdpanppZ2Que0NvbHVtbjMwMSwzMDB9JnF1b3Q7LCZxdW90O1NlY3Rpb24xL21hcHBpbmdfYnVkZ2V0LVRCT193ZWlnaHRlZC9UeXBlIGdld2lqemlnZC57Q29sdW1uMzAyLDMwMX0mcXVvdDssJnF1b3Q7U2VjdGlvbjEvbWFwcGluZ19idWRnZXQtVEJPX3dlaWdodGVkL1R5cGUgZ2V3aWp6aWdkLntDb2x1bW4zMDMsMzAyfSZxdW90OywmcXVvdDtTZWN0aW9uMS9tYXBwaW5nX2J1ZGdldC1UQk9fd2VpZ2h0ZWQvVHlwZSBnZXdpanppZ2Que0NvbHVtbjMwNCwzMDN9JnF1b3Q7LCZxdW90O1NlY3Rpb24xL21hcHBpbmdfYnVkZ2V0LVRCT193ZWlnaHRlZC9UeXBlIGdld2lqemlnZC57Q29sdW1uMzA1LDMwNH0mcXVvdDssJnF1b3Q7U2VjdGlvbjEvbWFwcGluZ19idWRnZXQtVEJPX3dlaWdodGVkL1R5cGUgZ2V3aWp6aWdkLntDb2x1bW4zMDYsMzA1fSZxdW90OywmcXVvdDtTZWN0aW9uMS9tYXBwaW5nX2J1ZGdldC1UQk9fd2VpZ2h0ZWQvVHlwZSBnZXdpanppZ2Que0NvbHVtbjMwNywzMDZ9JnF1b3Q7LCZxdW90O1NlY3Rpb24xL21hcHBpbmdfYnVkZ2V0LVRCT193ZWlnaHRlZC9UeXBlIGdld2lqemlnZC57Q29sdW1uMzA4LDMwN30mcXVvdDssJnF1b3Q7U2VjdGlvbjEvbWFwcGluZ19idWRnZXQtVEJPX3dlaWdodGVkL1R5cGUgZ2V3aWp6aWdkLntDb2x1bW4zMDksMzA4fSZxdW90OywmcXVvdDtTZWN0aW9uMS9tYXBwaW5nX2J1ZGdldC1UQk9fd2VpZ2h0ZWQvVHlwZSBnZXdpanppZ2Que0NvbHVtbjMxMCwzMDl9JnF1b3Q7LCZxdW90O1NlY3Rpb24xL21hcHBpbmdfYnVkZ2V0LVRCT193ZWlnaHRlZC9UeXBlIGdld2lqemlnZC57Q29sdW1uMzExLDMxMH0mcXVvdDssJnF1b3Q7U2VjdGlvbjEvbWFwcGluZ19idWRnZXQtVEJPX3dlaWdodGVkL1R5cGUgZ2V3aWp6aWdkLntDb2x1bW4zMTIsMzExfSZxdW90OywmcXVvdDtTZWN0aW9uMS9tYXBwaW5nX2J1ZGdldC1UQk9fd2VpZ2h0ZWQvVHlwZSBnZXdpanppZ2Que0NvbHVtbjMxMywzMTJ9JnF1b3Q7LCZxdW90O1NlY3Rpb24xL21hcHBpbmdfYnVkZ2V0LVRCT193ZWlnaHRlZC9UeXBlIGdld2lqemlnZC57Q29sdW1uMzE0LDMxM30mcXVvdDssJnF1b3Q7U2VjdGlvbjEvbWFwcGluZ19idWRnZXQtVEJPX3dlaWdodGVkL1R5cGUgZ2V3aWp6aWdkLntDb2x1bW4zMTUsMzE0fSZxdW90OywmcXVvdDtTZWN0aW9uMS9tYXBwaW5nX2J1ZGdldC1UQk9fd2VpZ2h0ZWQvVHlwZSBnZXdpanppZ2Que0NvbHVtbjMxNiwzMTV9JnF1b3Q7LCZxdW90O1NlY3Rpb24xL21hcHBpbmdfYnVkZ2V0LVRCT193ZWlnaHRlZC9UeXBlIGdld2lqemlnZC57Q29sdW1uMzE3LDMxNn0mcXVvdDtdLCZxdW90O0NvbHVtbkNvdW50JnF1b3Q7OjMxNywmcXVvdDtLZXlDb2x1bW5OYW1lcyZxdW90OzpbXSwmcXVvdDtDb2x1bW5JZGVudGl0aWVzJnF1b3Q7OlsmcXVvdDtTZWN0aW9uMS9tYXBwaW5nX2J1ZGdldC1UQk9fd2VpZ2h0ZWQvVHlwZSBnZXdpanppZ2Que0NvbHVtbjEsMH0mcXVvdDssJnF1b3Q7U2VjdGlvbjEvbWFwcGluZ19idWRnZXQtVEJPX3dlaWdodGVkL1R5cGUgZ2V3aWp6aWdkLntDb2x1bW4yLDF9JnF1b3Q7LCZxdW90O1NlY3Rpb24xL21hcHBpbmdfYnVkZ2V0LVRCT193ZWlnaHRlZC9UeXBlIGdld2lqemlnZC57Q29sdW1uMywyfSZxdW90OywmcXVvdDtTZWN0aW9uMS9tYXBwaW5nX2J1ZGdldC1UQk9fd2VpZ2h0ZWQvVHlwZSBnZXdpanppZ2Que0NvbHVtbjQsM30mcXVvdDssJnF1b3Q7U2VjdGlvbjEvbWFwcGluZ19idWRnZXQtVEJPX3dlaWdodGVkL1R5cGUgZ2V3aWp6aWdkLntDb2x1bW41LDR9JnF1b3Q7LCZxdW90O1NlY3Rpb24xL21hcHBpbmdfYnVkZ2V0LVRCT193ZWlnaHRlZC9UeXBlIGdld2lqemlnZC57Q29sdW1uNiw1fSZxdW90OywmcXVvdDtTZWN0aW9uMS9tYXBwaW5nX2J1ZGdldC1UQk9fd2VpZ2h0ZWQvVHlwZSBnZXdpanppZ2Que0NvbHVtbjcsNn0mcXVvdDssJnF1b3Q7U2VjdGlvbjEvbWFwcGluZ19idWRnZXQtVEJPX3dlaWdodGVkL1R5cGUgZ2V3aWp6aWdkLntDb2x1bW44LDd9JnF1b3Q7LCZxdW90O1NlY3Rpb24xL21hcHBpbmdfYnVkZ2V0LVRCT193ZWlnaHRlZC9UeXBlIGdld2lqemlnZC57Q29sdW1uOSw4fSZxdW90OywmcXVvdDtTZWN0aW9uMS9tYXBwaW5nX2J1ZGdldC1UQk9fd2VpZ2h0ZWQvVHlwZSBnZXdpanppZ2Que0NvbHVtbjEwLDl9JnF1b3Q7LCZxdW90O1NlY3Rpb24xL21hcHBpbmdfYnVkZ2V0LVRCT193ZWlnaHRlZC9UeXBlIGdld2lqemlnZC57Q29sdW1uMTEsMTB9JnF1b3Q7LCZxdW90O1NlY3Rpb24xL21hcHBpbmdfYnVkZ2V0LVRCT193ZWlnaHRlZC9UeXBlIGdld2lqemlnZC57Q29sdW1uMTIsMTF9JnF1b3Q7LCZxdW90O1NlY3Rpb24xL21hcHBpbmdfYnVkZ2V0LVRCT193ZWlnaHRlZC9UeXBlIGdld2lqemlnZC57Q29sdW1uMTMsMTJ9JnF1b3Q7LCZxdW90O1NlY3Rpb24xL21hcHBpbmdfYnVkZ2V0LVRCT193ZWlnaHRlZC9UeXBlIGdld2lqemlnZC57Q29sdW1uMTQsMTN9JnF1b3Q7LCZxdW90O1NlY3Rpb24xL21hcHBpbmdfYnVkZ2V0LVRCT193ZWlnaHRlZC9UeXBlIGdld2lqemlnZC57Q29sdW1uMTUsMTR9JnF1b3Q7LCZxdW90O1NlY3Rpb24xL21hcHBpbmdfYnVkZ2V0LVRCT193ZWlnaHRlZC9UeXBlIGdld2lqemlnZC57Q29sdW1uMTYsMTV9JnF1b3Q7LCZxdW90O1NlY3Rpb24xL21hcHBpbmdfYnVkZ2V0LVRCT193ZWlnaHRlZC9UeXBlIGdld2lqemlnZC57Q29sdW1uMTcsMTZ9JnF1b3Q7LCZxdW90O1NlY3Rpb24xL21hcHBpbmdfYnVkZ2V0LVRCT193ZWlnaHRlZC9UeXBlIGdld2lqemlnZC57Q29sdW1uMTgsMTd9JnF1b3Q7LCZxdW90O1NlY3Rpb24xL21hcHBpbmdfYnVkZ2V0LVRCT193ZWlnaHRlZC9UeXBlIGdld2lqemlnZC57Q29sdW1uMTksMTh9JnF1b3Q7LCZxdW90O1NlY3Rpb24xL21hcHBpbmdfYnVkZ2V0LVRCT193ZWlnaHRlZC9UeXBlIGdld2lqemlnZC57Q29sdW1uMjAsMTl9JnF1b3Q7LCZxdW90O1NlY3Rpb24xL21hcHBpbmdfYnVkZ2V0LVRCT193ZWlnaHRlZC9UeXBlIGdld2lqemlnZC57Q29sdW1uMjEsMjB9JnF1b3Q7LCZxdW90O1NlY3Rpb24xL21hcHBpbmdfYnVkZ2V0LVRCT193ZWlnaHRlZC9UeXBlIGdld2lqemlnZC57Q29sdW1uMjIsMjF9JnF1b3Q7LCZxdW90O1NlY3Rpb24xL21hcHBpbmdfYnVkZ2V0LVRCT193ZWlnaHRlZC9UeXBlIGdld2lqemlnZC57Q29sdW1uMjMsMjJ9JnF1b3Q7LCZxdW90O1NlY3Rpb24xL21hcHBpbmdfYnVkZ2V0LVRCT193ZWlnaHRlZC9UeXBlIGdld2lqemlnZC57Q29sdW1uMjQsMjN9JnF1b3Q7LCZxdW90O1NlY3Rpb24xL21hcHBpbmdfYnVkZ2V0LVRCT193ZWlnaHRlZC9UeXBlIGdld2lqemlnZC57Q29sdW1uMjUsMjR9JnF1b3Q7LCZxdW90O1NlY3Rpb24xL21hcHBpbmdfYnVkZ2V0LVRCT193ZWlnaHRlZC9UeXBlIGdld2lqemlnZC57Q29sdW1uMjYsMjV9JnF1b3Q7LCZxdW90O1NlY3Rpb24xL21hcHBpbmdfYnVkZ2V0LVRCT193ZWlnaHRlZC9UeXBlIGdld2lqemlnZC57Q29sdW1uMjcsMjZ9JnF1b3Q7LCZxdW90O1NlY3Rpb24xL21hcHBpbmdfYnVkZ2V0LVRCT193ZWlnaHRlZC9UeXBlIGdld2lqemlnZC57Q29sdW1uMjgsMjd9JnF1b3Q7LCZxdW90O1NlY3Rpb24xL21hcHBpbmdfYnVkZ2V0LVRCT193ZWlnaHRlZC9UeXBlIGdld2lqemlnZC57Q29sdW1uMjksMjh9JnF1b3Q7LCZxdW90O1NlY3Rpb24xL21hcHBpbmdfYnVkZ2V0LVRCT193ZWlnaHRlZC9UeXBlIGdld2lqemlnZC57Q29sdW1uMzAsMjl9JnF1b3Q7LCZxdW90O1NlY3Rpb24xL21hcHBpbmdfYnVkZ2V0LVRCT193ZWlnaHRlZC9UeXBlIGdld2lqemlnZC57Q29sdW1uMzEsMzB9JnF1b3Q7LCZxdW90O1NlY3Rpb24xL21hcHBpbmdfYnVkZ2V0LVRCT193ZWlnaHRlZC9UeXBlIGdld2lqemlnZC57Q29sdW1uMzIsMzF9JnF1b3Q7LCZxdW90O1NlY3Rpb24xL21hcHBpbmdfYnVkZ2V0LVRCT193ZWlnaHRlZC9UeXBlIGdld2lqemlnZC57Q29sdW1uMzMsMzJ9JnF1b3Q7LCZxdW90O1NlY3Rpb24xL21hcHBpbmdfYnVkZ2V0LVRCT193ZWlnaHRlZC9UeXBlIGdld2lqemlnZC57Q29sdW1uMzQsMzN9JnF1b3Q7LCZxdW90O1NlY3Rpb24xL21hcHBpbmdfYnVkZ2V0LVRCT193ZWlnaHRlZC9UeXBlIGdld2lqemlnZC57Q29sdW1uMzUsMzR9JnF1b3Q7LCZxdW90O1NlY3Rpb24xL21hcHBpbmdfYnVkZ2V0LVRCT193ZWlnaHRlZC9UeXBlIGdld2lqemlnZC57Q29sdW1uMzYsMzV9JnF1b3Q7LCZxdW90O1NlY3Rpb24xL21hcHBpbmdfYnVkZ2V0LVRCT193ZWlnaHRlZC9UeXBlIGdld2lqemlnZC57Q29sdW1uMzcsMzZ9JnF1b3Q7LCZxdW90O1NlY3Rpb24xL21hcHBpbmdfYnVkZ2V0LVRCT193ZWlnaHRlZC9UeXBlIGdld2lqemlnZC57Q29sdW1uMzgsMzd9JnF1b3Q7LCZxdW90O1NlY3Rpb24xL21hcHBpbmdfYnVkZ2V0LVRCT193ZWlnaHRlZC9UeXBlIGdld2lqemlnZC57Q29sdW1uMzksMzh9JnF1b3Q7LCZxdW90O1NlY3Rpb24xL21hcHBpbmdfYnVkZ2V0LVRCT193ZWlnaHRlZC9UeXBlIGdld2lqemlnZC57Q29sdW1uNDAsMzl9JnF1b3Q7LCZxdW90O1NlY3Rpb24xL21hcHBpbmdfYnVkZ2V0LVRCT193ZWlnaHRlZC9UeXBlIGdld2lqemlnZC57Q29sdW1uNDEsNDB9JnF1b3Q7LCZxdW90O1NlY3Rpb24xL21hcHBpbmdfYnVkZ2V0LVRCT193ZWlnaHRlZC9UeXBlIGdld2lqemlnZC57Q29sdW1uNDIsNDF9JnF1b3Q7LCZxdW90O1NlY3Rpb24xL21hcHBpbmdfYnVkZ2V0LVRCT193ZWlnaHRlZC9UeXBlIGdld2lqemlnZC57Q29sdW1uNDMsNDJ9JnF1b3Q7LCZxdW90O1NlY3Rpb24xL21hcHBpbmdfYnVkZ2V0LVRCT193ZWlnaHRlZC9UeXBlIGdld2lqemlnZC57Q29sdW1uNDQsNDN9JnF1b3Q7LCZxdW90O1NlY3Rpb24xL21hcHBpbmdfYnVkZ2V0LVRCT193ZWlnaHRlZC9UeXBlIGdld2lqemlnZC57Q29sdW1uNDUsNDR9JnF1b3Q7LCZxdW90O1NlY3Rpb24xL21hcHBpbmdfYnVkZ2V0LVRCT193ZWlnaHRlZC9UeXBlIGdld2lqemlnZC57Q29sdW1uNDYsNDV9JnF1b3Q7LCZxdW90O1NlY3Rpb24xL21hcHBpbmdfYnVkZ2V0LVRCT193ZWlnaHRlZC9UeXBlIGdld2lqemlnZC57Q29sdW1uNDcsNDZ9JnF1b3Q7LCZxdW90O1NlY3Rpb24xL21hcHBpbmdfYnVkZ2V0LVRCT193ZWlnaHRlZC9UeXBlIGdld2lqemlnZC57Q29sdW1uNDgsNDd9JnF1b3Q7LCZxdW90O1NlY3Rpb24xL21hcHBpbmdfYnVkZ2V0LVRCT193ZWlnaHRlZC9UeXBlIGdld2lqemlnZC57Q29sdW1uNDksNDh9JnF1b3Q7LCZxdW90O1NlY3Rpb24xL21hcHBpbmdfYnVkZ2V0LVRCT193ZWlnaHRlZC9UeXBlIGdld2lqemlnZC57Q29sdW1uNTAsNDl9JnF1b3Q7LCZxdW90O1NlY3Rpb24xL21hcHBpbmdfYnVkZ2V0LVRCT193ZWlnaHRlZC9UeXBlIGdld2lqemlnZC57Q29sdW1uNTEsNTB9JnF1b3Q7LCZxdW90O1NlY3Rpb24xL21hcHBpbmdfYnVkZ2V0LVRCT193ZWlnaHRlZC9UeXBlIGdld2lqemlnZC57Q29sdW1uNTIsNTF9JnF1b3Q7LCZxdW90O1NlY3Rpb24xL21hcHBpbmdfYnVkZ2V0LVRCT193ZWlnaHRlZC9UeXBlIGdld2lqemlnZC57Q29sdW1uNTMsNTJ9JnF1b3Q7LCZxdW90O1NlY3Rpb24xL21hcHBpbmdfYnVkZ2V0LVRCT193ZWlnaHRlZC9UeXBlIGdld2lqemlnZC57Q29sdW1uNTQsNTN9JnF1b3Q7LCZxdW90O1NlY3Rpb24xL21hcHBpbmdfYnVkZ2V0LVRCT193ZWlnaHRlZC9UeXBlIGdld2lqemlnZC57Q29sdW1uNTUsNTR9JnF1b3Q7LCZxdW90O1NlY3Rpb24xL21hcHBpbmdfYnVkZ2V0LVRCT193ZWlnaHRlZC9UeXBlIGdld2lqemlnZC57Q29sdW1uNTYsNTV9JnF1b3Q7LCZxdW90O1NlY3Rpb24xL21hcHBpbmdfYnVkZ2V0LVRCT193ZWlnaHRlZC9UeXBlIGdld2lqemlnZC57Q29sdW1uNTcsNTZ9JnF1b3Q7LCZxdW90O1NlY3Rpb24xL21hcHBpbmdfYnVkZ2V0LVRCT193ZWlnaHRlZC9UeXBlIGdld2lqemlnZC57Q29sdW1uNTgsNTd9JnF1b3Q7LCZxdW90O1NlY3Rpb24xL21hcHBpbmdfYnVkZ2V0LVRCT193ZWlnaHRlZC9UeXBlIGdld2lqemlnZC57Q29sdW1uNTksNTh9JnF1b3Q7LCZxdW90O1NlY3Rpb24xL21hcHBpbmdfYnVkZ2V0LVRCT193ZWlnaHRlZC9UeXBlIGdld2lqemlnZC57Q29sdW1uNjAsNTl9JnF1b3Q7LCZxdW90O1NlY3Rpb24xL21hcHBpbmdfYnVkZ2V0LVRCT193ZWlnaHRlZC9UeXBlIGdld2lqemlnZC57Q29sdW1uNjEsNjB9JnF1b3Q7LCZxdW90O1NlY3Rpb24xL21hcHBpbmdfYnVkZ2V0LVRCT193ZWlnaHRlZC9UeXBlIGdld2lqemlnZC57Q29sdW1uNjIsNjF9JnF1b3Q7LCZxdW90O1NlY3Rpb24xL21hcHBpbmdfYnVkZ2V0LVRCT193ZWlnaHRlZC9UeXBlIGdld2lqemlnZC57Q29sdW1uNjMsNjJ9JnF1b3Q7LCZxdW90O1NlY3Rpb24xL21hcHBpbmdfYnVkZ2V0LVRCT193ZWlnaHRlZC9UeXBlIGdld2lqemlnZC57Q29sdW1uNjQsNjN9JnF1b3Q7LCZxdW90O1NlY3Rpb24xL21hcHBpbmdfYnVkZ2V0LVRCT193ZWlnaHRlZC9UeXBlIGdld2lqemlnZC57Q29sdW1uNjUsNjR9JnF1b3Q7LCZxdW90O1NlY3Rpb24xL21hcHBpbmdfYnVkZ2V0LVRCT193ZWlnaHRlZC9UeXBlIGdld2lqemlnZC57Q29sdW1uNjYsNjV9JnF1b3Q7LCZxdW90O1NlY3Rpb24xL21hcHBpbmdfYnVkZ2V0LVRCT193ZWlnaHRlZC9UeXBlIGdld2lqemlnZC57Q29sdW1uNjcsNjZ9JnF1b3Q7LCZxdW90O1NlY3Rpb24xL21hcHBpbmdfYnVkZ2V0LVRCT193ZWlnaHRlZC9UeXBlIGdld2lqemlnZC57Q29sdW1uNjgsNjd9JnF1b3Q7LCZxdW90O1NlY3Rpb24xL21hcHBpbmdfYnVkZ2V0LVRCT193ZWlnaHRlZC9UeXBlIGdld2lqemlnZC57Q29sdW1uNjksNjh9JnF1b3Q7LCZxdW90O1NlY3Rpb24xL21hcHBpbmdfYnVkZ2V0LVRCT193ZWlnaHRlZC9UeXBlIGdld2lqemlnZC57Q29sdW1uNzAsNjl9JnF1b3Q7LCZxdW90O1NlY3Rpb24xL21hcHBpbmdfYnVkZ2V0LVRCT193ZWlnaHRlZC9UeXBlIGdld2lqemlnZC57Q29sdW1uNzEsNzB9JnF1b3Q7LCZxdW90O1NlY3Rpb24xL21hcHBpbmdfYnVkZ2V0LVRCT193ZWlnaHRlZC9UeXBlIGdld2lqemlnZC57Q29sdW1uNzIsNzF9JnF1b3Q7LCZxdW90O1NlY3Rpb24xL21hcHBpbmdfYnVkZ2V0LVRCT193ZWlnaHRlZC9UeXBlIGdld2lqemlnZC57Q29sdW1uNzMsNzJ9JnF1b3Q7LCZxdW90O1NlY3Rpb24xL21hcHBpbmdfYnVkZ2V0LVRCT193ZWlnaHRlZC9UeXBlIGdld2lqemlnZC57Q29sdW1uNzQsNzN9JnF1b3Q7LCZxdW90O1NlY3Rpb24xL21hcHBpbmdfYnVkZ2V0LVRCT193ZWlnaHRlZC9UeXBlIGdld2lqemlnZC57Q29sdW1uNzUsNzR9JnF1b3Q7LCZxdW90O1NlY3Rpb24xL21hcHBpbmdfYnVkZ2V0LVRCT193ZWlnaHRlZC9UeXBlIGdld2lqemlnZC57Q29sdW1uNzYsNzV9JnF1b3Q7LCZxdW90O1NlY3Rpb24xL21hcHBpbmdfYnVkZ2V0LVRCT193ZWlnaHRlZC9UeXBlIGdld2lqemlnZC57Q29sdW1uNzcsNzZ9JnF1b3Q7LCZxdW90O1NlY3Rpb24xL21hcHBpbmdfYnVkZ2V0LVRCT193ZWlnaHRlZC9UeXBlIGdld2lqemlnZC57Q29sdW1uNzgsNzd9JnF1b3Q7LCZxdW90O1NlY3Rpb24xL21hcHBpbmdfYnVkZ2V0LVRCT193ZWlnaHRlZC9UeXBlIGdld2lqemlnZC57Q29sdW1uNzksNzh9JnF1b3Q7LCZxdW90O1NlY3Rpb24xL21hcHBpbmdfYnVkZ2V0LVRCT193ZWlnaHRlZC9UeXBlIGdld2lqemlnZC57Q29sdW1uODAsNzl9JnF1b3Q7LCZxdW90O1NlY3Rpb24xL21hcHBpbmdfYnVkZ2V0LVRCT193ZWlnaHRlZC9UeXBlIGdld2lqemlnZC57Q29sdW1uODEsODB9JnF1b3Q7LCZxdW90O1NlY3Rpb24xL21hcHBpbmdfYnVkZ2V0LVRCT193ZWlnaHRlZC9UeXBlIGdld2lqemlnZC57Q29sdW1uODIsODF9JnF1b3Q7LCZxdW90O1NlY3Rpb24xL21hcHBpbmdfYnVkZ2V0LVRCT193ZWlnaHRlZC9UeXBlIGdld2lqemlnZC57Q29sdW1uODMsODJ9JnF1b3Q7LCZxdW90O1NlY3Rpb24xL21hcHBpbmdfYnVkZ2V0LVRCT193ZWlnaHRlZC9UeXBlIGdld2lqemlnZC57Q29sdW1uODQsODN9JnF1b3Q7LCZxdW90O1NlY3Rpb24xL21hcHBpbmdfYnVkZ2V0LVRCT193ZWlnaHRlZC9UeXBlIGdld2lqemlnZC57Q29sdW1uODUsODR9JnF1b3Q7LCZxdW90O1NlY3Rpb24xL21hcHBpbmdfYnVkZ2V0LVRCT193ZWlnaHRlZC9UeXBlIGdld2lqemlnZC57Q29sdW1uODYsODV9JnF1b3Q7LCZxdW90O1NlY3Rpb24xL21hcHBpbmdfYnVkZ2V0LVRCT193ZWlnaHRlZC9UeXBlIGdld2lqemlnZC57Q29sdW1uODcsODZ9JnF1b3Q7LCZxdW90O1NlY3Rpb24xL21hcHBpbmdfYnVkZ2V0LVRCT193ZWlnaHRlZC9UeXBlIGdld2lqemlnZC57Q29sdW1uODgsODd9JnF1b3Q7LCZxdW90O1NlY3Rpb24xL21hcHBpbmdfYnVkZ2V0LVRCT193ZWlnaHRlZC9UeXBlIGdld2lqemlnZC57Q29sdW1uODksODh9JnF1b3Q7LCZxdW90O1NlY3Rpb24xL21hcHBpbmdfYnVkZ2V0LVRCT193ZWlnaHRlZC9UeXBlIGdld2lqemlnZC57Q29sdW1uOTAsODl9JnF1b3Q7LCZxdW90O1NlY3Rpb24xL21hcHBpbmdfYnVkZ2V0LVRCT193ZWlnaHRlZC9UeXBlIGdld2lqemlnZC57Q29sdW1uOTEsOTB9JnF1b3Q7LCZxdW90O1NlY3Rpb24xL21hcHBpbmdfYnVkZ2V0LVRCT193ZWlnaHRlZC9UeXBlIGdld2lqemlnZC57Q29sdW1uOTIsOTF9JnF1b3Q7LCZxdW90O1NlY3Rpb24xL21hcHBpbmdfYnVkZ2V0LVRCT193ZWlnaHRlZC9UeXBlIGdld2lqemlnZC57Q29sdW1uOTMsOTJ9JnF1b3Q7LCZxdW90O1NlY3Rpb24xL21hcHBpbmdfYnVkZ2V0LVRCT193ZWlnaHRlZC9UeXBlIGdld2lqemlnZC57Q29sdW1uOTQsOTN9JnF1b3Q7LCZxdW90O1NlY3Rpb24xL21hcHBpbmdfYnVkZ2V0LVRCT193ZWlnaHRlZC9UeXBlIGdld2lqemlnZC57Q29sdW1uOTUsOTR9JnF1b3Q7LCZxdW90O1NlY3Rpb24xL21hcHBpbmdfYnVkZ2V0LVRCT193ZWlnaHRlZC9UeXBlIGdld2lqemlnZC57Q29sdW1uOTYsOTV9JnF1b3Q7LCZxdW90O1NlY3Rpb24xL21hcHBpbmdfYnVkZ2V0LVRCT193ZWlnaHRlZC9UeXBlIGdld2lqemlnZC57Q29sdW1uOTcsOTZ9JnF1b3Q7LCZxdW90O1NlY3Rpb24xL21hcHBpbmdfYnVkZ2V0LVRCT193ZWlnaHRlZC9UeXBlIGdld2lqemlnZC57Q29sdW1uOTgsOTd9JnF1b3Q7LCZxdW90O1NlY3Rpb24xL21hcHBpbmdfYnVkZ2V0LVRCT193ZWlnaHRlZC9UeXBlIGdld2lqemlnZC57Q29sdW1uOTksOTh9JnF1b3Q7LCZxdW90O1NlY3Rpb24xL21hcHBpbmdfYnVkZ2V0LVRCT193ZWlnaHRlZC9UeXBlIGdld2lqemlnZC57Q29sdW1uMTAwLDk5fSZxdW90OywmcXVvdDtTZWN0aW9uMS9tYXBwaW5nX2J1ZGdldC1UQk9fd2VpZ2h0ZWQvVHlwZSBnZXdpanppZ2Que0NvbHVtbjEwMSwxMDB9JnF1b3Q7LCZxdW90O1NlY3Rpb24xL21hcHBpbmdfYnVkZ2V0LVRCT193ZWlnaHRlZC9UeXBlIGdld2lqemlnZC57Q29sdW1uMTAyLDEwMX0mcXVvdDssJnF1b3Q7U2VjdGlvbjEvbWFwcGluZ19idWRnZXQtVEJPX3dlaWdodGVkL1R5cGUgZ2V3aWp6aWdkLntDb2x1bW4xMDMsMTAyfSZxdW90OywmcXVvdDtTZWN0aW9uMS9tYXBwaW5nX2J1ZGdldC1UQk9fd2VpZ2h0ZWQvVHlwZSBnZXdpanppZ2Que0NvbHVtbjEwNCwxMDN9JnF1b3Q7LCZxdW90O1NlY3Rpb24xL21hcHBpbmdfYnVkZ2V0LVRCT193ZWlnaHRlZC9UeXBlIGdld2lqemlnZC57Q29sdW1uMTA1LDEwNH0mcXVvdDssJnF1b3Q7U2VjdGlvbjEvbWFwcGluZ19idWRnZXQtVEJPX3dlaWdodGVkL1R5cGUgZ2V3aWp6aWdkLntDb2x1bW4xMDYsMTA1fSZxdW90OywmcXVvdDtTZWN0aW9uMS9tYXBwaW5nX2J1ZGdldC1UQk9fd2VpZ2h0ZWQvVHlwZSBnZXdpanppZ2Que0NvbHVtbjEwNywxMDZ9JnF1b3Q7LCZxdW90O1NlY3Rpb24xL21hcHBpbmdfYnVkZ2V0LVRCT193ZWlnaHRlZC9UeXBlIGdld2lqemlnZC57Q29sdW1uMTA4LDEwN30mcXVvdDssJnF1b3Q7U2VjdGlvbjEvbWFwcGluZ19idWRnZXQtVEJPX3dlaWdodGVkL1R5cGUgZ2V3aWp6aWdkLntDb2x1bW4xMDksMTA4fSZxdW90OywmcXVvdDtTZWN0aW9uMS9tYXBwaW5nX2J1ZGdldC1UQk9fd2VpZ2h0ZWQvVHlwZSBnZXdpanppZ2Que0NvbHVtbjExMCwxMDl9JnF1b3Q7LCZxdW90O1NlY3Rpb24xL21hcHBpbmdfYnVkZ2V0LVRCT193ZWlnaHRlZC9UeXBlIGdld2lqemlnZC57Q29sdW1uMTExLDExMH0mcXVvdDssJnF1b3Q7U2VjdGlvbjEvbWFwcGluZ19idWRnZXQtVEJPX3dlaWdodGVkL1R5cGUgZ2V3aWp6aWdkLntDb2x1bW4xMTIsMTExfSZxdW90OywmcXVvdDtTZWN0aW9uMS9tYXBwaW5nX2J1ZGdldC1UQk9fd2VpZ2h0ZWQvVHlwZSBnZXdpanppZ2Que0NvbHVtbjExMywxMTJ9JnF1b3Q7LCZxdW90O1NlY3Rpb24xL21hcHBpbmdfYnVkZ2V0LVRCT193ZWlnaHRlZC9UeXBlIGdld2lqemlnZC57Q29sdW1uMTE0LDExM30mcXVvdDssJnF1b3Q7U2VjdGlvbjEvbWFwcGluZ19idWRnZXQtVEJPX3dlaWdodGVkL1R5cGUgZ2V3aWp6aWdkLntDb2x1bW4xMTUsMTE0fSZxdW90OywmcXVvdDtTZWN0aW9uMS9tYXBwaW5nX2J1ZGdldC1UQk9fd2VpZ2h0ZWQvVHlwZSBnZXdpanppZ2Que0NvbHVtbjExNiwxMTV9JnF1b3Q7LCZxdW90O1NlY3Rpb24xL21hcHBpbmdfYnVkZ2V0LVRCT193ZWlnaHRlZC9UeXBlIGdld2lqemlnZC57Q29sdW1uMTE3LDExNn0mcXVvdDssJnF1b3Q7U2VjdGlvbjEvbWFwcGluZ19idWRnZXQtVEJPX3dlaWdodGVkL1R5cGUgZ2V3aWp6aWdkLntDb2x1bW4xMTgsMTE3fSZxdW90OywmcXVvdDtTZWN0aW9uMS9tYXBwaW5nX2J1ZGdldC1UQk9fd2VpZ2h0ZWQvVHlwZSBnZXdpanppZ2Que0NvbHVtbjExOSwxMTh9JnF1b3Q7LCZxdW90O1NlY3Rpb24xL21hcHBpbmdfYnVkZ2V0LVRCT193ZWlnaHRlZC9UeXBlIGdld2lqemlnZC57Q29sdW1uMTIwLDExOX0mcXVvdDssJnF1b3Q7U2VjdGlvbjEvbWFwcGluZ19idWRnZXQtVEJPX3dlaWdodGVkL1R5cGUgZ2V3aWp6aWdkLntDb2x1bW4xMjEsMTIwfSZxdW90OywmcXVvdDtTZWN0aW9uMS9tYXBwaW5nX2J1ZGdldC1UQk9fd2VpZ2h0ZWQvVHlwZSBnZXdpanppZ2Que0NvbHVtbjEyMiwxMjF9JnF1b3Q7LCZxdW90O1NlY3Rpb24xL21hcHBpbmdfYnVkZ2V0LVRCT193ZWlnaHRlZC9UeXBlIGdld2lqemlnZC57Q29sdW1uMTIzLDEyMn0mcXVvdDssJnF1b3Q7U2VjdGlvbjEvbWFwcGluZ19idWRnZXQtVEJPX3dlaWdodGVkL1R5cGUgZ2V3aWp6aWdkLntDb2x1bW4xMjQsMTIzfSZxdW90OywmcXVvdDtTZWN0aW9uMS9tYXBwaW5nX2J1ZGdldC1UQk9fd2VpZ2h0ZWQvVHlwZSBnZXdpanppZ2Que0NvbHVtbjEyNSwxMjR9JnF1b3Q7LCZxdW90O1NlY3Rpb24xL21hcHBpbmdfYnVkZ2V0LVRCT193ZWlnaHRlZC9UeXBlIGdld2lqemlnZC57Q29sdW1uMTI2LDEyNX0mcXVvdDssJnF1b3Q7U2VjdGlvbjEvbWFwcGluZ19idWRnZXQtVEJPX3dlaWdodGVkL1R5cGUgZ2V3aWp6aWdkLntDb2x1bW4xMjcsMTI2fSZxdW90OywmcXVvdDtTZWN0aW9uMS9tYXBwaW5nX2J1ZGdldC1UQk9fd2VpZ2h0ZWQvVHlwZSBnZXdpanppZ2Que0NvbHVtbjEyOCwxMjd9JnF1b3Q7LCZxdW90O1NlY3Rpb24xL21hcHBpbmdfYnVkZ2V0LVRCT193ZWlnaHRlZC9UeXBlIGdld2lqemlnZC57Q29sdW1uMTI5LDEyOH0mcXVvdDssJnF1b3Q7U2VjdGlvbjEvbWFwcGluZ19idWRnZXQtVEJPX3dlaWdodGVkL1R5cGUgZ2V3aWp6aWdkLntDb2x1bW4xMzAsMTI5fSZxdW90OywmcXVvdDtTZWN0aW9uMS9tYXBwaW5nX2J1ZGdldC1UQk9fd2VpZ2h0ZWQvVHlwZSBnZXdpanppZ2Que0NvbHVtbjEzMSwxMzB9JnF1b3Q7LCZxdW90O1NlY3Rpb24xL21hcHBpbmdfYnVkZ2V0LVRCT193ZWlnaHRlZC9UeXBlIGdld2lqemlnZC57Q29sdW1uMTMyLDEzMX0mcXVvdDssJnF1b3Q7U2VjdGlvbjEvbWFwcGluZ19idWRnZXQtVEJPX3dlaWdodGVkL1R5cGUgZ2V3aWp6aWdkLntDb2x1bW4xMzMsMTMyfSZxdW90OywmcXVvdDtTZWN0aW9uMS9tYXBwaW5nX2J1ZGdldC1UQk9fd2VpZ2h0ZWQvVHlwZSBnZXdpanppZ2Que0NvbHVtbjEzNCwxMzN9JnF1b3Q7LCZxdW90O1NlY3Rpb24xL21hcHBpbmdfYnVkZ2V0LVRCT193ZWlnaHRlZC9UeXBlIGdld2lqemlnZC57Q29sdW1uMTM1LDEzNH0mcXVvdDssJnF1b3Q7U2VjdGlvbjEvbWFwcGluZ19idWRnZXQtVEJPX3dlaWdodGVkL1R5cGUgZ2V3aWp6aWdkLntDb2x1bW4xMzYsMTM1fSZxdW90OywmcXVvdDtTZWN0aW9uMS9tYXBwaW5nX2J1ZGdldC1UQk9fd2VpZ2h0ZWQvVHlwZSBnZXdpanppZ2Que0NvbHVtbjEzNywxMzZ9JnF1b3Q7LCZxdW90O1NlY3Rpb24xL21hcHBpbmdfYnVkZ2V0LVRCT193ZWlnaHRlZC9UeXBlIGdld2lqemlnZC57Q29sdW1uMTM4LDEzN30mcXVvdDssJnF1b3Q7U2VjdGlvbjEvbWFwcGluZ19idWRnZXQtVEJPX3dlaWdodGVkL1R5cGUgZ2V3aWp6aWdkLntDb2x1bW4xMzksMTM4fSZxdW90OywmcXVvdDtTZWN0aW9uMS9tYXBwaW5nX2J1ZGdldC1UQk9fd2VpZ2h0ZWQvVHlwZSBnZXdpanppZ2Que0NvbHVtbjE0MCwxMzl9JnF1b3Q7LCZxdW90O1NlY3Rpb24xL21hcHBpbmdfYnVkZ2V0LVRCT193ZWlnaHRlZC9UeXBlIGdld2lqemlnZC57Q29sdW1uMTQxLDE0MH0mcXVvdDssJnF1b3Q7U2VjdGlvbjEvbWFwcGluZ19idWRnZXQtVEJPX3dlaWdodGVkL1R5cGUgZ2V3aWp6aWdkLntDb2x1bW4xNDIsMTQxfSZxdW90OywmcXVvdDtTZWN0aW9uMS9tYXBwaW5nX2J1ZGdldC1UQk9fd2VpZ2h0ZWQvVHlwZSBnZXdpanppZ2Que0NvbHVtbjE0MywxNDJ9JnF1b3Q7LCZxdW90O1NlY3Rpb24xL21hcHBpbmdfYnVkZ2V0LVRCT193ZWlnaHRlZC9UeXBlIGdld2lqemlnZC57Q29sdW1uMTQ0LDE0M30mcXVvdDssJnF1b3Q7U2VjdGlvbjEvbWFwcGluZ19idWRnZXQtVEJPX3dlaWdodGVkL1R5cGUgZ2V3aWp6aWdkLntDb2x1bW4xNDUsMTQ0fSZxdW90OywmcXVvdDtTZWN0aW9uMS9tYXBwaW5nX2J1ZGdldC1UQk9fd2VpZ2h0ZWQvVHlwZSBnZXdpanppZ2Que0NvbHVtbjE0NiwxNDV9JnF1b3Q7LCZxdW90O1NlY3Rpb24xL21hcHBpbmdfYnVkZ2V0LVRCT193ZWlnaHRlZC9UeXBlIGdld2lqemlnZC57Q29sdW1uMTQ3LDE0Nn0mcXVvdDssJnF1b3Q7U2VjdGlvbjEvbWFwcGluZ19idWRnZXQtVEJPX3dlaWdodGVkL1R5cGUgZ2V3aWp6aWdkLntDb2x1bW4xNDgsMTQ3fSZxdW90OywmcXVvdDtTZWN0aW9uMS9tYXBwaW5nX2J1ZGdldC1UQk9fd2VpZ2h0ZWQvVHlwZSBnZXdpanppZ2Que0NvbHVtbjE0OSwxNDh9JnF1b3Q7LCZxdW90O1NlY3Rpb24xL21hcHBpbmdfYnVkZ2V0LVRCT193ZWlnaHRlZC9UeXBlIGdld2lqemlnZC57Q29sdW1uMTUwLDE0OX0mcXVvdDssJnF1b3Q7U2VjdGlvbjEvbWFwcGluZ19idWRnZXQtVEJPX3dlaWdodGVkL1R5cGUgZ2V3aWp6aWdkLntDb2x1bW4xNTEsMTUwfSZxdW90OywmcXVvdDtTZWN0aW9uMS9tYXBwaW5nX2J1ZGdldC1UQk9fd2VpZ2h0ZWQvVHlwZSBnZXdpanppZ2Que0NvbHVtbjE1MiwxNTF9JnF1b3Q7LCZxdW90O1NlY3Rpb24xL21hcHBpbmdfYnVkZ2V0LVRCT193ZWlnaHRlZC9UeXBlIGdld2lqemlnZC57Q29sdW1uMTUzLDE1Mn0mcXVvdDssJnF1b3Q7U2VjdGlvbjEvbWFwcGluZ19idWRnZXQtVEJPX3dlaWdodGVkL1R5cGUgZ2V3aWp6aWdkLntDb2x1bW4xNTQsMTUzfSZxdW90OywmcXVvdDtTZWN0aW9uMS9tYXBwaW5nX2J1ZGdldC1UQk9fd2VpZ2h0ZWQvVHlwZSBnZXdpanppZ2Que0NvbHVtbjE1NSwxNTR9JnF1b3Q7LCZxdW90O1NlY3Rpb24xL21hcHBpbmdfYnVkZ2V0LVRCT193ZWlnaHRlZC9UeXBlIGdld2lqemlnZC57Q29sdW1uMTU2LDE1NX0mcXVvdDssJnF1b3Q7U2VjdGlvbjEvbWFwcGluZ19idWRnZXQtVEJPX3dlaWdodGVkL1R5cGUgZ2V3aWp6aWdkLntDb2x1bW4xNTcsMTU2fSZxdW90OywmcXVvdDtTZWN0aW9uMS9tYXBwaW5nX2J1ZGdldC1UQk9fd2VpZ2h0ZWQvVHlwZSBnZXdpanppZ2Que0NvbHVtbjE1OCwxNTd9JnF1b3Q7LCZxdW90O1NlY3Rpb24xL21hcHBpbmdfYnVkZ2V0LVRCT193ZWlnaHRlZC9UeXBlIGdld2lqemlnZC57Q29sdW1uMTU5LDE1OH0mcXVvdDssJnF1b3Q7U2VjdGlvbjEvbWFwcGluZ19idWRnZXQtVEJPX3dlaWdodGVkL1R5cGUgZ2V3aWp6aWdkLntDb2x1bW4xNjAsMTU5fSZxdW90OywmcXVvdDtTZWN0aW9uMS9tYXBwaW5nX2J1ZGdldC1UQk9fd2VpZ2h0ZWQvVHlwZSBnZXdpanppZ2Que0NvbHVtbjE2MSwxNjB9JnF1b3Q7LCZxdW90O1NlY3Rpb24xL21hcHBpbmdfYnVkZ2V0LVRCT193ZWlnaHRlZC9UeXBlIGdld2lqemlnZC57Q29sdW1uMTYyLDE2MX0mcXVvdDssJnF1b3Q7U2VjdGlvbjEvbWFwcGluZ19idWRnZXQtVEJPX3dlaWdodGVkL1R5cGUgZ2V3aWp6aWdkLntDb2x1bW4xNjMsMTYyfSZxdW90OywmcXVvdDtTZWN0aW9uMS9tYXBwaW5nX2J1ZGdldC1UQk9fd2VpZ2h0ZWQvVHlwZSBnZXdpanppZ2Que0NvbHVtbjE2NCwxNjN9JnF1b3Q7LCZxdW90O1NlY3Rpb24xL21hcHBpbmdfYnVkZ2V0LVRCT193ZWlnaHRlZC9UeXBlIGdld2lqemlnZC57Q29sdW1uMTY1LDE2NH0mcXVvdDssJnF1b3Q7U2VjdGlvbjEvbWFwcGluZ19idWRnZXQtVEJPX3dlaWdodGVkL1R5cGUgZ2V3aWp6aWdkLntDb2x1bW4xNjYsMTY1fSZxdW90OywmcXVvdDtTZWN0aW9uMS9tYXBwaW5nX2J1ZGdldC1UQk9fd2VpZ2h0ZWQvVHlwZSBnZXdpanppZ2Que0NvbHVtbjE2NywxNjZ9JnF1b3Q7LCZxdW90O1NlY3Rpb24xL21hcHBpbmdfYnVkZ2V0LVRCT193ZWlnaHRlZC9UeXBlIGdld2lqemlnZC57Q29sdW1uMTY4LDE2N30mcXVvdDssJnF1b3Q7U2VjdGlvbjEvbWFwcGluZ19idWRnZXQtVEJPX3dlaWdodGVkL1R5cGUgZ2V3aWp6aWdkLntDb2x1bW4xNjksMTY4fSZxdW90OywmcXVvdDtTZWN0aW9uMS9tYXBwaW5nX2J1ZGdldC1UQk9fd2VpZ2h0ZWQvVHlwZSBnZXdpanppZ2Que0NvbHVtbjE3MCwxNjl9JnF1b3Q7LCZxdW90O1NlY3Rpb24xL21hcHBpbmdfYnVkZ2V0LVRCT193ZWlnaHRlZC9UeXBlIGdld2lqemlnZC57Q29sdW1uMTcxLDE3MH0mcXVvdDssJnF1b3Q7U2VjdGlvbjEvbWFwcGluZ19idWRnZXQtVEJPX3dlaWdodGVkL1R5cGUgZ2V3aWp6aWdkLntDb2x1bW4xNzIsMTcxfSZxdW90OywmcXVvdDtTZWN0aW9uMS9tYXBwaW5nX2J1ZGdldC1UQk9fd2VpZ2h0ZWQvVHlwZSBnZXdpanppZ2Que0NvbHVtbjE3MywxNzJ9JnF1b3Q7LCZxdW90O1NlY3Rpb24xL21hcHBpbmdfYnVkZ2V0LVRCT193ZWlnaHRlZC9UeXBlIGdld2lqemlnZC57Q29sdW1uMTc0LDE3M30mcXVvdDssJnF1b3Q7U2VjdGlvbjEvbWFwcGluZ19idWRnZXQtVEJPX3dlaWdodGVkL1R5cGUgZ2V3aWp6aWdkLntDb2x1bW4xNzUsMTc0fSZxdW90OywmcXVvdDtTZWN0aW9uMS9tYXBwaW5nX2J1ZGdldC1UQk9fd2VpZ2h0ZWQvVHlwZSBnZXdpanppZ2Que0NvbHVtbjE3NiwxNzV9JnF1b3Q7LCZxdW90O1NlY3Rpb24xL21hcHBpbmdfYnVkZ2V0LVRCT193ZWlnaHRlZC9UeXBlIGdld2lqemlnZC57Q29sdW1uMTc3LDE3Nn0mcXVvdDssJnF1b3Q7U2VjdGlvbjEvbWFwcGluZ19idWRnZXQtVEJPX3dlaWdodGVkL1R5cGUgZ2V3aWp6aWdkLntDb2x1bW4xNzgsMTc3fSZxdW90OywmcXVvdDtTZWN0aW9uMS9tYXBwaW5nX2J1ZGdldC1UQk9fd2VpZ2h0ZWQvVHlwZSBnZXdpanppZ2Que0NvbHVtbjE3OSwxNzh9JnF1b3Q7LCZxdW90O1NlY3Rpb24xL21hcHBpbmdfYnVkZ2V0LVRCT193ZWlnaHRlZC9UeXBlIGdld2lqemlnZC57Q29sdW1uMTgwLDE3OX0mcXVvdDssJnF1b3Q7U2VjdGlvbjEvbWFwcGluZ19idWRnZXQtVEJPX3dlaWdodGVkL1R5cGUgZ2V3aWp6aWdkLntDb2x1bW4xODEsMTgwfSZxdW90OywmcXVvdDtTZWN0aW9uMS9tYXBwaW5nX2J1ZGdldC1UQk9fd2VpZ2h0ZWQvVHlwZSBnZXdpanppZ2Que0NvbHVtbjE4MiwxODF9JnF1b3Q7LCZxdW90O1NlY3Rpb24xL21hcHBpbmdfYnVkZ2V0LVRCT193ZWlnaHRlZC9UeXBlIGdld2lqemlnZC57Q29sdW1uMTgzLDE4Mn0mcXVvdDssJnF1b3Q7U2VjdGlvbjEvbWFwcGluZ19idWRnZXQtVEJPX3dlaWdodGVkL1R5cGUgZ2V3aWp6aWdkLntDb2x1bW4xODQsMTgzfSZxdW90OywmcXVvdDtTZWN0aW9uMS9tYXBwaW5nX2J1ZGdldC1UQk9fd2VpZ2h0ZWQvVHlwZSBnZXdpanppZ2Que0NvbHVtbjE4NSwxODR9JnF1b3Q7LCZxdW90O1NlY3Rpb24xL21hcHBpbmdfYnVkZ2V0LVRCT193ZWlnaHRlZC9UeXBlIGdld2lqemlnZC57Q29sdW1uMTg2LDE4NX0mcXVvdDssJnF1b3Q7U2VjdGlvbjEvbWFwcGluZ19idWRnZXQtVEJPX3dlaWdodGVkL1R5cGUgZ2V3aWp6aWdkLntDb2x1bW4xODcsMTg2fSZxdW90OywmcXVvdDtTZWN0aW9uMS9tYXBwaW5nX2J1ZGdldC1UQk9fd2VpZ2h0ZWQvVHlwZSBnZXdpanppZ2Que0NvbHVtbjE4OCwxODd9JnF1b3Q7LCZxdW90O1NlY3Rpb24xL21hcHBpbmdfYnVkZ2V0LVRCT193ZWlnaHRlZC9UeXBlIGdld2lqemlnZC57Q29sdW1uMTg5LDE4OH0mcXVvdDssJnF1b3Q7U2VjdGlvbjEvbWFwcGluZ19idWRnZXQtVEJPX3dlaWdodGVkL1R5cGUgZ2V3aWp6aWdkLntDb2x1bW4xOTAsMTg5fSZxdW90OywmcXVvdDtTZWN0aW9uMS9tYXBwaW5nX2J1ZGdldC1UQk9fd2VpZ2h0ZWQvVHlwZSBnZXdpanppZ2Que0NvbHVtbjE5MSwxOTB9JnF1b3Q7LCZxdW90O1NlY3Rpb24xL21hcHBpbmdfYnVkZ2V0LVRCT193ZWlnaHRlZC9UeXBlIGdld2lqemlnZC57Q29sdW1uMTkyLDE5MX0mcXVvdDssJnF1b3Q7U2VjdGlvbjEvbWFwcGluZ19idWRnZXQtVEJPX3dlaWdodGVkL1R5cGUgZ2V3aWp6aWdkLntDb2x1bW4xOTMsMTkyfSZxdW90OywmcXVvdDtTZWN0aW9uMS9tYXBwaW5nX2J1ZGdldC1UQk9fd2VpZ2h0ZWQvVHlwZSBnZXdpanppZ2Que0NvbHVtbjE5NCwxOTN9JnF1b3Q7LCZxdW90O1NlY3Rpb24xL21hcHBpbmdfYnVkZ2V0LVRCT193ZWlnaHRlZC9UeXBlIGdld2lqemlnZC57Q29sdW1uMTk1LDE5NH0mcXVvdDssJnF1b3Q7U2VjdGlvbjEvbWFwcGluZ19idWRnZXQtVEJPX3dlaWdodGVkL1R5cGUgZ2V3aWp6aWdkLntDb2x1bW4xOTYsMTk1fSZxdW90OywmcXVvdDtTZWN0aW9uMS9tYXBwaW5nX2J1ZGdldC1UQk9fd2VpZ2h0ZWQvVHlwZSBnZXdpanppZ2Que0NvbHVtbjE5NywxOTZ9JnF1b3Q7LCZxdW90O1NlY3Rpb24xL21hcHBpbmdfYnVkZ2V0LVRCT193ZWlnaHRlZC9UeXBlIGdld2lqemlnZC57Q29sdW1uMTk4LDE5N30mcXVvdDssJnF1b3Q7U2VjdGlvbjEvbWFwcGluZ19idWRnZXQtVEJPX3dlaWdodGVkL1R5cGUgZ2V3aWp6aWdkLntDb2x1bW4xOTksMTk4fSZxdW90OywmcXVvdDtTZWN0aW9uMS9tYXBwaW5nX2J1ZGdldC1UQk9fd2VpZ2h0ZWQvVHlwZSBnZXdpanppZ2Que0NvbHVtbjIwMCwxOTl9JnF1b3Q7LCZxdW90O1NlY3Rpb24xL21hcHBpbmdfYnVkZ2V0LVRCT193ZWlnaHRlZC9UeXBlIGdld2lqemlnZC57Q29sdW1uMjAxLDIwMH0mcXVvdDssJnF1b3Q7U2VjdGlvbjEvbWFwcGluZ19idWRnZXQtVEJPX3dlaWdodGVkL1R5cGUgZ2V3aWp6aWdkLntDb2x1bW4yMDIsMjAxfSZxdW90OywmcXVvdDtTZWN0aW9uMS9tYXBwaW5nX2J1ZGdldC1UQk9fd2VpZ2h0ZWQvVHlwZSBnZXdpanppZ2Que0NvbHVtbjIwMywyMDJ9JnF1b3Q7LCZxdW90O1NlY3Rpb24xL21hcHBpbmdfYnVkZ2V0LVRCT193ZWlnaHRlZC9UeXBlIGdld2lqemlnZC57Q29sdW1uMjA0LDIwM30mcXVvdDssJnF1b3Q7U2VjdGlvbjEvbWFwcGluZ19idWRnZXQtVEJPX3dlaWdodGVkL1R5cGUgZ2V3aWp6aWdkLntDb2x1bW4yMDUsMjA0fSZxdW90OywmcXVvdDtTZWN0aW9uMS9tYXBwaW5nX2J1ZGdldC1UQk9fd2VpZ2h0ZWQvVHlwZSBnZXdpanppZ2Que0NvbHVtbjIwNiwyMDV9JnF1b3Q7LCZxdW90O1NlY3Rpb24xL21hcHBpbmdfYnVkZ2V0LVRCT193ZWlnaHRlZC9UeXBlIGdld2lqemlnZC57Q29sdW1uMjA3LDIwNn0mcXVvdDssJnF1b3Q7U2VjdGlvbjEvbWFwcGluZ19idWRnZXQtVEJPX3dlaWdodGVkL1R5cGUgZ2V3aWp6aWdkLntDb2x1bW4yMDgsMjA3fSZxdW90OywmcXVvdDtTZWN0aW9uMS9tYXBwaW5nX2J1ZGdldC1UQk9fd2VpZ2h0ZWQvVHlwZSBnZXdpanppZ2Que0NvbHVtbjIwOSwyMDh9JnF1b3Q7LCZxdW90O1NlY3Rpb24xL21hcHBpbmdfYnVkZ2V0LVRCT193ZWlnaHRlZC9UeXBlIGdld2lqemlnZC57Q29sdW1uMjEwLDIwOX0mcXVvdDssJnF1b3Q7U2VjdGlvbjEvbWFwcGluZ19idWRnZXQtVEJPX3dlaWdodGVkL1R5cGUgZ2V3aWp6aWdkLntDb2x1bW4yMTEsMjEwfSZxdW90OywmcXVvdDtTZWN0aW9uMS9tYXBwaW5nX2J1ZGdldC1UQk9fd2VpZ2h0ZWQvVHlwZSBnZXdpanppZ2Que0NvbHVtbjIxMiwyMTF9JnF1b3Q7LCZxdW90O1NlY3Rpb24xL21hcHBpbmdfYnVkZ2V0LVRCT193ZWlnaHRlZC9UeXBlIGdld2lqemlnZC57Q29sdW1uMjEzLDIxMn0mcXVvdDssJnF1b3Q7U2VjdGlvbjEvbWFwcGluZ19idWRnZXQtVEJPX3dlaWdodGVkL1R5cGUgZ2V3aWp6aWdkLntDb2x1bW4yMTQsMjEzfSZxdW90OywmcXVvdDtTZWN0aW9uMS9tYXBwaW5nX2J1ZGdldC1UQk9fd2VpZ2h0ZWQvVHlwZSBnZXdpanppZ2Que0NvbHVtbjIxNSwyMTR9JnF1b3Q7LCZxdW90O1NlY3Rpb24xL21hcHBpbmdfYnVkZ2V0LVRCT193ZWlnaHRlZC9UeXBlIGdld2lqemlnZC57Q29sdW1uMjE2LDIxNX0mcXVvdDssJnF1b3Q7U2VjdGlvbjEvbWFwcGluZ19idWRnZXQtVEJPX3dlaWdodGVkL1R5cGUgZ2V3aWp6aWdkLntDb2x1bW4yMTcsMjE2fSZxdW90OywmcXVvdDtTZWN0aW9uMS9tYXBwaW5nX2J1ZGdldC1UQk9fd2VpZ2h0ZWQvVHlwZSBnZXdpanppZ2Que0NvbHVtbjIxOCwyMTd9JnF1b3Q7LCZxdW90O1NlY3Rpb24xL21hcHBpbmdfYnVkZ2V0LVRCT193ZWlnaHRlZC9UeXBlIGdld2lqemlnZC57Q29sdW1uMjE5LDIxOH0mcXVvdDssJnF1b3Q7U2VjdGlvbjEvbWFwcGluZ19idWRnZXQtVEJPX3dlaWdodGVkL1R5cGUgZ2V3aWp6aWdkLntDb2x1bW4yMjAsMjE5fSZxdW90OywmcXVvdDtTZWN0aW9uMS9tYXBwaW5nX2J1ZGdldC1UQk9fd2VpZ2h0ZWQvVHlwZSBnZXdpanppZ2Que0NvbHVtbjIyMSwyMjB9JnF1b3Q7LCZxdW90O1NlY3Rpb24xL21hcHBpbmdfYnVkZ2V0LVRCT193ZWlnaHRlZC9UeXBlIGdld2lqemlnZC57Q29sdW1uMjIyLDIyMX0mcXVvdDssJnF1b3Q7U2VjdGlvbjEvbWFwcGluZ19idWRnZXQtVEJPX3dlaWdodGVkL1R5cGUgZ2V3aWp6aWdkLntDb2x1bW4yMjMsMjIyfSZxdW90OywmcXVvdDtTZWN0aW9uMS9tYXBwaW5nX2J1ZGdldC1UQk9fd2VpZ2h0ZWQvVHlwZSBnZXdpanppZ2Que0NvbHVtbjIyNCwyMjN9JnF1b3Q7LCZxdW90O1NlY3Rpb24xL21hcHBpbmdfYnVkZ2V0LVRCT193ZWlnaHRlZC9UeXBlIGdld2lqemlnZC57Q29sdW1uMjI1LDIyNH0mcXVvdDssJnF1b3Q7U2VjdGlvbjEvbWFwcGluZ19idWRnZXQtVEJPX3dlaWdodGVkL1R5cGUgZ2V3aWp6aWdkLntDb2x1bW4yMjYsMjI1fSZxdW90OywmcXVvdDtTZWN0aW9uMS9tYXBwaW5nX2J1ZGdldC1UQk9fd2VpZ2h0ZWQvVHlwZSBnZXdpanppZ2Que0NvbHVtbjIyNywyMjZ9JnF1b3Q7LCZxdW90O1NlY3Rpb24xL21hcHBpbmdfYnVkZ2V0LVRCT193ZWlnaHRlZC9UeXBlIGdld2lqemlnZC57Q29sdW1uMjI4LDIyN30mcXVvdDssJnF1b3Q7U2VjdGlvbjEvbWFwcGluZ19idWRnZXQtVEJPX3dlaWdodGVkL1R5cGUgZ2V3aWp6aWdkLntDb2x1bW4yMjksMjI4fSZxdW90OywmcXVvdDtTZWN0aW9uMS9tYXBwaW5nX2J1ZGdldC1UQk9fd2VpZ2h0ZWQvVHlwZSBnZXdpanppZ2Que0NvbHVtbjIzMCwyMjl9JnF1b3Q7LCZxdW90O1NlY3Rpb24xL21hcHBpbmdfYnVkZ2V0LVRCT193ZWlnaHRlZC9UeXBlIGdld2lqemlnZC57Q29sdW1uMjMxLDIzMH0mcXVvdDssJnF1b3Q7U2VjdGlvbjEvbWFwcGluZ19idWRnZXQtVEJPX3dlaWdodGVkL1R5cGUgZ2V3aWp6aWdkLntDb2x1bW4yMzIsMjMxfSZxdW90OywmcXVvdDtTZWN0aW9uMS9tYXBwaW5nX2J1ZGdldC1UQk9fd2VpZ2h0ZWQvVHlwZSBnZXdpanppZ2Que0NvbHVtbjIzMywyMzJ9JnF1b3Q7LCZxdW90O1NlY3Rpb24xL21hcHBpbmdfYnVkZ2V0LVRCT193ZWlnaHRlZC9UeXBlIGdld2lqemlnZC57Q29sdW1uMjM0LDIzM30mcXVvdDssJnF1b3Q7U2VjdGlvbjEvbWFwcGluZ19idWRnZXQtVEJPX3dlaWdodGVkL1R5cGUgZ2V3aWp6aWdkLntDb2x1bW4yMzUsMjM0fSZxdW90OywmcXVvdDtTZWN0aW9uMS9tYXBwaW5nX2J1ZGdldC1UQk9fd2VpZ2h0ZWQvVHlwZSBnZXdpanppZ2Que0NvbHVtbjIzNiwyMzV9JnF1b3Q7LCZxdW90O1NlY3Rpb24xL21hcHBpbmdfYnVkZ2V0LVRCT193ZWlnaHRlZC9UeXBlIGdld2lqemlnZC57Q29sdW1uMjM3LDIzNn0mcXVvdDssJnF1b3Q7U2VjdGlvbjEvbWFwcGluZ19idWRnZXQtVEJPX3dlaWdodGVkL1R5cGUgZ2V3aWp6aWdkLntDb2x1bW4yMzgsMjM3fSZxdW90OywmcXVvdDtTZWN0aW9uMS9tYXBwaW5nX2J1ZGdldC1UQk9fd2VpZ2h0ZWQvVHlwZSBnZXdpanppZ2Que0NvbHVtbjIzOSwyMzh9JnF1b3Q7LCZxdW90O1NlY3Rpb24xL21hcHBpbmdfYnVkZ2V0LVRCT193ZWlnaHRlZC9UeXBlIGdld2lqemlnZC57Q29sdW1uMjQwLDIzOX0mcXVvdDssJnF1b3Q7U2VjdGlvbjEvbWFwcGluZ19idWRnZXQtVEJPX3dlaWdodGVkL1R5cGUgZ2V3aWp6aWdkLntDb2x1bW4yNDEsMjQwfSZxdW90OywmcXVvdDtTZWN0aW9uMS9tYXBwaW5nX2J1ZGdldC1UQk9fd2VpZ2h0ZWQvVHlwZSBnZXdpanppZ2Que0NvbHVtbjI0MiwyNDF9JnF1b3Q7LCZxdW90O1NlY3Rpb24xL21hcHBpbmdfYnVkZ2V0LVRCT193ZWlnaHRlZC9UeXBlIGdld2lqemlnZC57Q29sdW1uMjQzLDI0Mn0mcXVvdDssJnF1b3Q7U2VjdGlvbjEvbWFwcGluZ19idWRnZXQtVEJPX3dlaWdodGVkL1R5cGUgZ2V3aWp6aWdkLntDb2x1bW4yNDQsMjQzfSZxdW90OywmcXVvdDtTZWN0aW9uMS9tYXBwaW5nX2J1ZGdldC1UQk9fd2VpZ2h0ZWQvVHlwZSBnZXdpanppZ2Que0NvbHVtbjI0NSwyNDR9JnF1b3Q7LCZxdW90O1NlY3Rpb24xL21hcHBpbmdfYnVkZ2V0LVRCT193ZWlnaHRlZC9UeXBlIGdld2lqemlnZC57Q29sdW1uMjQ2LDI0NX0mcXVvdDssJnF1b3Q7U2VjdGlvbjEvbWFwcGluZ19idWRnZXQtVEJPX3dlaWdodGVkL1R5cGUgZ2V3aWp6aWdkLntDb2x1bW4yNDcsMjQ2fSZxdW90OywmcXVvdDtTZWN0aW9uMS9tYXBwaW5nX2J1ZGdldC1UQk9fd2VpZ2h0ZWQvVHlwZSBnZXdpanppZ2Que0NvbHVtbjI0OCwyNDd9JnF1b3Q7LCZxdW90O1NlY3Rpb24xL21hcHBpbmdfYnVkZ2V0LVRCT193ZWlnaHRlZC9UeXBlIGdld2lqemlnZC57Q29sdW1uMjQ5LDI0OH0mcXVvdDssJnF1b3Q7U2VjdGlvbjEvbWFwcGluZ19idWRnZXQtVEJPX3dlaWdodGVkL1R5cGUgZ2V3aWp6aWdkLntDb2x1bW4yNTAsMjQ5fSZxdW90OywmcXVvdDtTZWN0aW9uMS9tYXBwaW5nX2J1ZGdldC1UQk9fd2VpZ2h0ZWQvVHlwZSBnZXdpanppZ2Que0NvbHVtbjI1MSwyNTB9JnF1b3Q7LCZxdW90O1NlY3Rpb24xL21hcHBpbmdfYnVkZ2V0LVRCT193ZWlnaHRlZC9UeXBlIGdld2lqemlnZC57Q29sdW1uMjUyLDI1MX0mcXVvdDssJnF1b3Q7U2VjdGlvbjEvbWFwcGluZ19idWRnZXQtVEJPX3dlaWdodGVkL1R5cGUgZ2V3aWp6aWdkLntDb2x1bW4yNTMsMjUyfSZxdW90OywmcXVvdDtTZWN0aW9uMS9tYXBwaW5nX2J1ZGdldC1UQk9fd2VpZ2h0ZWQvVHlwZSBnZXdpanppZ2Que0NvbHVtbjI1NCwyNTN9JnF1b3Q7LCZxdW90O1NlY3Rpb24xL21hcHBpbmdfYnVkZ2V0LVRCT193ZWlnaHRlZC9UeXBlIGdld2lqemlnZC57Q29sdW1uMjU1LDI1NH0mcXVvdDssJnF1b3Q7U2VjdGlvbjEvbWFwcGluZ19idWRnZXQtVEJPX3dlaWdodGVkL1R5cGUgZ2V3aWp6aWdkLntDb2x1bW4yNTYsMjU1fSZxdW90OywmcXVvdDtTZWN0aW9uMS9tYXBwaW5nX2J1ZGdldC1UQk9fd2VpZ2h0ZWQvVHlwZSBnZXdpanppZ2Que0NvbHVtbjI1NywyNTZ9JnF1b3Q7LCZxdW90O1NlY3Rpb24xL21hcHBpbmdfYnVkZ2V0LVRCT193ZWlnaHRlZC9UeXBlIGdld2lqemlnZC57Q29sdW1uMjU4LDI1N30mcXVvdDssJnF1b3Q7U2VjdGlvbjEvbWFwcGluZ19idWRnZXQtVEJPX3dlaWdodGVkL1R5cGUgZ2V3aWp6aWdkLntDb2x1bW4yNTksMjU4fSZxdW90OywmcXVvdDtTZWN0aW9uMS9tYXBwaW5nX2J1ZGdldC1UQk9fd2VpZ2h0ZWQvVHlwZSBnZXdpanppZ2Que0NvbHVtbjI2MCwyNTl9JnF1b3Q7LCZxdW90O1NlY3Rpb24xL21hcHBpbmdfYnVkZ2V0LVRCT193ZWlnaHRlZC9UeXBlIGdld2lqemlnZC57Q29sdW1uMjYxLDI2MH0mcXVvdDssJnF1b3Q7U2VjdGlvbjEvbWFwcGluZ19idWRnZXQtVEJPX3dlaWdodGVkL1R5cGUgZ2V3aWp6aWdkLntDb2x1bW4yNjIsMjYxfSZxdW90OywmcXVvdDtTZWN0aW9uMS9tYXBwaW5nX2J1ZGdldC1UQk9fd2VpZ2h0ZWQvVHlwZSBnZXdpanppZ2Que0NvbHVtbjI2MywyNjJ9JnF1b3Q7LCZxdW90O1NlY3Rpb24xL21hcHBpbmdfYnVkZ2V0LVRCT193ZWlnaHRlZC9UeXBlIGdld2lqemlnZC57Q29sdW1uMjY0LDI2M30mcXVvdDssJnF1b3Q7U2VjdGlvbjEvbWFwcGluZ19idWRnZXQtVEJPX3dlaWdodGVkL1R5cGUgZ2V3aWp6aWdkLntDb2x1bW4yNjUsMjY0fSZxdW90OywmcXVvdDtTZWN0aW9uMS9tYXBwaW5nX2J1ZGdldC1UQk9fd2VpZ2h0ZWQvVHlwZSBnZXdpanppZ2Que0NvbHVtbjI2NiwyNjV9JnF1b3Q7LCZxdW90O1NlY3Rpb24xL21hcHBpbmdfYnVkZ2V0LVRCT193ZWlnaHRlZC9UeXBlIGdld2lqemlnZC57Q29sdW1uMjY3LDI2Nn0mcXVvdDssJnF1b3Q7U2VjdGlvbjEvbWFwcGluZ19idWRnZXQtVEJPX3dlaWdodGVkL1R5cGUgZ2V3aWp6aWdkLntDb2x1bW4yNjgsMjY3fSZxdW90OywmcXVvdDtTZWN0aW9uMS9tYXBwaW5nX2J1ZGdldC1UQk9fd2VpZ2h0ZWQvVHlwZSBnZXdpanppZ2Que0NvbHVtbjI2OSwyNjh9JnF1b3Q7LCZxdW90O1NlY3Rpb24xL21hcHBpbmdfYnVkZ2V0LVRCT193ZWlnaHRlZC9UeXBlIGdld2lqemlnZC57Q29sdW1uMjcwLDI2OX0mcXVvdDssJnF1b3Q7U2VjdGlvbjEvbWFwcGluZ19idWRnZXQtVEJPX3dlaWdodGVkL1R5cGUgZ2V3aWp6aWdkLntDb2x1bW4yNzEsMjcwfSZxdW90OywmcXVvdDtTZWN0aW9uMS9tYXBwaW5nX2J1ZGdldC1UQk9fd2VpZ2h0ZWQvVHlwZSBnZXdpanppZ2Que0NvbHVtbjI3MiwyNzF9JnF1b3Q7LCZxdW90O1NlY3Rpb24xL21hcHBpbmdfYnVkZ2V0LVRCT193ZWlnaHRlZC9UeXBlIGdld2lqemlnZC57Q29sdW1uMjczLDI3Mn0mcXVvdDssJnF1b3Q7U2VjdGlvbjEvbWFwcGluZ19idWRnZXQtVEJPX3dlaWdodGVkL1R5cGUgZ2V3aWp6aWdkLntDb2x1bW4yNzQsMjczfSZxdW90OywmcXVvdDtTZWN0aW9uMS9tYXBwaW5nX2J1ZGdldC1UQk9fd2VpZ2h0ZWQvVHlwZSBnZXdpanppZ2Que0NvbHVtbjI3NSwyNzR9JnF1b3Q7LCZxdW90O1NlY3Rpb24xL21hcHBpbmdfYnVkZ2V0LVRCT193ZWlnaHRlZC9UeXBlIGdld2lqemlnZC57Q29sdW1uMjc2LDI3NX0mcXVvdDssJnF1b3Q7U2VjdGlvbjEvbWFwcGluZ19idWRnZXQtVEJPX3dlaWdodGVkL1R5cGUgZ2V3aWp6aWdkLntDb2x1bW4yNzcsMjc2fSZxdW90OywmcXVvdDtTZWN0aW9uMS9tYXBwaW5nX2J1ZGdldC1UQk9fd2VpZ2h0ZWQvVHlwZSBnZXdpanppZ2Que0NvbHVtbjI3OCwyNzd9JnF1b3Q7LCZxdW90O1NlY3Rpb24xL21hcHBpbmdfYnVkZ2V0LVRCT193ZWlnaHRlZC9UeXBlIGdld2lqemlnZC57Q29sdW1uMjc5LDI3OH0mcXVvdDssJnF1b3Q7U2VjdGlvbjEvbWFwcGluZ19idWRnZXQtVEJPX3dlaWdodGVkL1R5cGUgZ2V3aWp6aWdkLntDb2x1bW4yODAsMjc5fSZxdW90OywmcXVvdDtTZWN0aW9uMS9tYXBwaW5nX2J1ZGdldC1UQk9fd2VpZ2h0ZWQvVHlwZSBnZXdpanppZ2Que0NvbHVtbjI4MSwyODB9JnF1b3Q7LCZxdW90O1NlY3Rpb24xL21hcHBpbmdfYnVkZ2V0LVRCT193ZWlnaHRlZC9UeXBlIGdld2lqemlnZC57Q29sdW1uMjgyLDI4MX0mcXVvdDssJnF1b3Q7U2VjdGlvbjEvbWFwcGluZ19idWRnZXQtVEJPX3dlaWdodGVkL1R5cGUgZ2V3aWp6aWdkLntDb2x1bW4yODMsMjgyfSZxdW90OywmcXVvdDtTZWN0aW9uMS9tYXBwaW5nX2J1ZGdldC1UQk9fd2VpZ2h0ZWQvVHlwZSBnZXdpanppZ2Que0NvbHVtbjI4NCwyODN9JnF1b3Q7LCZxdW90O1NlY3Rpb24xL21hcHBpbmdfYnVkZ2V0LVRCT193ZWlnaHRlZC9UeXBlIGdld2lqemlnZC57Q29sdW1uMjg1LDI4NH0mcXVvdDssJnF1b3Q7U2VjdGlvbjEvbWFwcGluZ19idWRnZXQtVEJPX3dlaWdodGVkL1R5cGUgZ2V3aWp6aWdkLntDb2x1bW4yODYsMjg1fSZxdW90OywmcXVvdDtTZWN0aW9uMS9tYXBwaW5nX2J1ZGdldC1UQk9fd2VpZ2h0ZWQvVHlwZSBnZXdpanppZ2Que0NvbHVtbjI4NywyODZ9JnF1b3Q7LCZxdW90O1NlY3Rpb24xL21hcHBpbmdfYnVkZ2V0LVRCT193ZWlnaHRlZC9UeXBlIGdld2lqemlnZC57Q29sdW1uMjg4LDI4N30mcXVvdDssJnF1b3Q7U2VjdGlvbjEvbWFwcGluZ19idWRnZXQtVEJPX3dlaWdodGVkL1R5cGUgZ2V3aWp6aWdkLntDb2x1bW4yODksMjg4fSZxdW90OywmcXVvdDtTZWN0aW9uMS9tYXBwaW5nX2J1ZGdldC1UQk9fd2VpZ2h0ZWQvVHlwZSBnZXdpanppZ2Que0NvbHVtbjI5MCwyODl9JnF1b3Q7LCZxdW90O1NlY3Rpb24xL21hcHBpbmdfYnVkZ2V0LVRCT193ZWlnaHRlZC9UeXBlIGdld2lqemlnZC57Q29sdW1uMjkxLDI5MH0mcXVvdDssJnF1b3Q7U2VjdGlvbjEvbWFwcGluZ19idWRnZXQtVEJPX3dlaWdodGVkL1R5cGUgZ2V3aWp6aWdkLntDb2x1bW4yOTIsMjkxfSZxdW90OywmcXVvdDtTZWN0aW9uMS9tYXBwaW5nX2J1ZGdldC1UQk9fd2VpZ2h0ZWQvVHlwZSBnZXdpanppZ2Que0NvbHVtbjI5MywyOTJ9JnF1b3Q7LCZxdW90O1NlY3Rpb24xL21hcHBpbmdfYnVkZ2V0LVRCT193ZWlnaHRlZC9UeXBlIGdld2lqemlnZC57Q29sdW1uMjk0LDI5M30mcXVvdDssJnF1b3Q7U2VjdGlvbjEvbWFwcGluZ19idWRnZXQtVEJPX3dlaWdodGVkL1R5cGUgZ2V3aWp6aWdkLntDb2x1bW4yOTUsMjk0fSZxdW90OywmcXVvdDtTZWN0aW9uMS9tYXBwaW5nX2J1ZGdldC1UQk9fd2VpZ2h0ZWQvVHlwZSBnZXdpanppZ2Que0NvbHVtbjI5NiwyOTV9JnF1b3Q7LCZxdW90O1NlY3Rpb24xL21hcHBpbmdfYnVkZ2V0LVRCT193ZWlnaHRlZC9UeXBlIGdld2lqemlnZC57Q29sdW1uMjk3LDI5Nn0mcXVvdDssJnF1b3Q7U2VjdGlvbjEvbWFwcGluZ19idWRnZXQtVEJPX3dlaWdodGVkL1R5cGUgZ2V3aWp6aWdkLntDb2x1bW4yOTgsMjk3fSZxdW90OywmcXVvdDtTZWN0aW9uMS9tYXBwaW5nX2J1ZGdldC1UQk9fd2VpZ2h0ZWQvVHlwZSBnZXdpanppZ2Que0NvbHVtbjI5OSwyOTh9JnF1b3Q7LCZxdW90O1NlY3Rpb24xL21hcHBpbmdfYnVkZ2V0LVRCT193ZWlnaHRlZC9UeXBlIGdld2lqemlnZC57Q29sdW1uMzAwLDI5OX0mcXVvdDssJnF1b3Q7U2VjdGlvbjEvbWFwcGluZ19idWRnZXQtVEJPX3dlaWdodGVkL1R5cGUgZ2V3aWp6aWdkLntDb2x1bW4zMDEsMzAwfSZxdW90OywmcXVvdDtTZWN0aW9uMS9tYXBwaW5nX2J1ZGdldC1UQk9fd2VpZ2h0ZWQvVHlwZSBnZXdpanppZ2Que0NvbHVtbjMwMiwzMDF9JnF1b3Q7LCZxdW90O1NlY3Rpb24xL21hcHBpbmdfYnVkZ2V0LVRCT193ZWlnaHRlZC9UeXBlIGdld2lqemlnZC57Q29sdW1uMzAzLDMwMn0mcXVvdDssJnF1b3Q7U2VjdGlvbjEvbWFwcGluZ19idWRnZXQtVEJPX3dlaWdodGVkL1R5cGUgZ2V3aWp6aWdkLntDb2x1bW4zMDQsMzAzfSZxdW90OywmcXVvdDtTZWN0aW9uMS9tYXBwaW5nX2J1ZGdldC1UQk9fd2VpZ2h0ZWQvVHlwZSBnZXdpanppZ2Que0NvbHVtbjMwNSwzMDR9JnF1b3Q7LCZxdW90O1NlY3Rpb24xL21hcHBpbmdfYnVkZ2V0LVRCT193ZWlnaHRlZC9UeXBlIGdld2lqemlnZC57Q29sdW1uMzA2LDMwNX0mcXVvdDssJnF1b3Q7U2VjdGlvbjEvbWFwcGluZ19idWRnZXQtVEJPX3dlaWdodGVkL1R5cGUgZ2V3aWp6aWdkLntDb2x1bW4zMDcsMzA2fSZxdW90OywmcXVvdDtTZWN0aW9uMS9tYXBwaW5nX2J1ZGdldC1UQk9fd2VpZ2h0ZWQvVHlwZSBnZXdpanppZ2Que0NvbHVtbjMwOCwzMDd9JnF1b3Q7LCZxdW90O1NlY3Rpb24xL21hcHBpbmdfYnVkZ2V0LVRCT193ZWlnaHRlZC9UeXBlIGdld2lqemlnZC57Q29sdW1uMzA5LDMwOH0mcXVvdDssJnF1b3Q7U2VjdGlvbjEvbWFwcGluZ19idWRnZXQtVEJPX3dlaWdodGVkL1R5cGUgZ2V3aWp6aWdkLntDb2x1bW4zMTAsMzA5fSZxdW90OywmcXVvdDtTZWN0aW9uMS9tYXBwaW5nX2J1ZGdldC1UQk9fd2VpZ2h0ZWQvVHlwZSBnZXdpanppZ2Que0NvbHVtbjMxMSwzMTB9JnF1b3Q7LCZxdW90O1NlY3Rpb24xL21hcHBpbmdfYnVkZ2V0LVRCT193ZWlnaHRlZC9UeXBlIGdld2lqemlnZC57Q29sdW1uMzEyLDMxMX0mcXVvdDssJnF1b3Q7U2VjdGlvbjEvbWFwcGluZ19idWRnZXQtVEJPX3dlaWdodGVkL1R5cGUgZ2V3aWp6aWdkLntDb2x1bW4zMTMsMzEyfSZxdW90OywmcXVvdDtTZWN0aW9uMS9tYXBwaW5nX2J1ZGdldC1UQk9fd2VpZ2h0ZWQvVHlwZSBnZXdpanppZ2Que0NvbHVtbjMxNCwzMTN9JnF1b3Q7LCZxdW90O1NlY3Rpb24xL21hcHBpbmdfYnVkZ2V0LVRCT193ZWlnaHRlZC9UeXBlIGdld2lqemlnZC57Q29sdW1uMzE1LDMxNH0mcXVvdDssJnF1b3Q7U2VjdGlvbjEvbWFwcGluZ19idWRnZXQtVEJPX3dlaWdodGVkL1R5cGUgZ2V3aWp6aWdkLntDb2x1bW4zMTYsMzE1fSZxdW90OywmcXVvdDtTZWN0aW9uMS9tYXBwaW5nX2J1ZGdldC1UQk9fd2VpZ2h0ZWQvVHlwZSBnZXdpanppZ2Que0NvbHVtbjMxNywzMTZ9JnF1b3Q7XSwmcXVvdDtSZWxhdGlvbnNoaXBJbmZvJnF1b3Q7OltdfSIgLz48L1N0YWJsZUVudHJpZXM+PC9JdGVtPjxJdGVtPjxJdGVtTG9jYXRpb24+PEl0ZW1UeXBlPkZvcm11bGE8L0l0ZW1UeXBlPjxJdGVtUGF0aD5TZWN0aW9uMS9tYXBwaW5nX2J1ZGdldC1UQk9fd2VpZ2h0ZWQvQnJvbjwvSXRlbVBhdGg+PC9JdGVtTG9jYXRpb24+PFN0YWJsZUVudHJpZXMgLz48L0l0ZW0+PEl0ZW0+PEl0ZW1Mb2NhdGlvbj48SXRlbVR5cGU+Rm9ybXVsYTwvSXRlbVR5cGU+PEl0ZW1QYXRoPlNlY3Rpb24xL21hcHBpbmdfYnVkZ2V0LVRCT193ZWlnaHRlZC9UeXBlJTIwZ2V3aWp6aWdkPC9JdGVtUGF0aD48L0l0ZW1Mb2NhdGlvbj48U3RhYmxlRW50cmllcyAvPjwvSXRlbT48SXRlbT48SXRlbUxvY2F0aW9uPjxJdGVtVHlwZT5Gb3JtdWxhPC9JdGVtVHlwZT48SXRlbVBhdGg+U2VjdGlvbjEvbWFwcGluZ19idWRnZXQtVEJPX3dlaWdodGVkJTIwKDIp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RXhjZXB0aW9uIiAvPjxFbnRyeSBUeXBlPSJOYW1lVXBkYXRlZEFmdGVyRmlsbCIgVmFsdWU9ImwwIiAvPjxFbnRyeSBUeXBlPSJGaWxsZWRDb21wbGV0ZVJlc3VsdFRvV29ya3NoZWV0IiBWYWx1ZT0ibDEiIC8+PEVudHJ5IFR5cGU9IlJlY292ZXJ5VGFyZ2V0U2hlZXQiIFZhbHVlPSJzQmxhZDkiIC8+PEVudHJ5IFR5cGU9IlJlY292ZXJ5VGFyZ2V0Q29sdW1uIiBWYWx1ZT0ibDEiIC8+PEVudHJ5IFR5cGU9IlJlY292ZXJ5VGFyZ2V0Um93IiBWYWx1ZT0ibDEiIC8+PEVudHJ5IFR5cGU9IkFkZGVkVG9EYXRhTW9kZWwiIFZhbHVlPSJsMCIgLz48RW50cnkgVHlwZT0iRmlsbENvdW50IiBWYWx1ZT0ibDE1NyIgLz48RW50cnkgVHlwZT0iRmlsbEVycm9yQ29kZSIgVmFsdWU9InNVbmtub3duIiAvPjxFbnRyeSBUeXBlPSJGaWxsRXJyb3JDb3VudCIgVmFsdWU9ImwwIiAvPjxFbnRyeSBUeXBlPSJGaWxsTGFzdFVwZGF0ZWQiIFZhbHVlPSJkMjAyNC0wNS0zMFQxNDoyNDowMy43ODY4MzE2WiIgLz48RW50cnkgVHlwZT0iRmlsbENvbHVtblR5cGVzIiBWYWx1ZT0ic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T0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ssJnF1b3Q7Q29sdW1uMTAmcXVvdDssJnF1b3Q7Q29sdW1uMTEmcXVvdDssJnF1b3Q7Q29sdW1uMTImcXVvdDssJnF1b3Q7Q29sdW1uMTMmcXVvdDssJnF1b3Q7Q29sdW1uMTQmcXVvdDssJnF1b3Q7Q29sdW1uMTUmcXVvdDssJnF1b3Q7Q29sdW1uMTYmcXVvdDssJnF1b3Q7Q29sdW1uMTcmcXVvdDssJnF1b3Q7Q29sdW1uMTgmcXVvdDssJnF1b3Q7Q29sdW1uMTkmcXVvdDssJnF1b3Q7Q29sdW1uMjAmcXVvdDssJnF1b3Q7Q29sdW1uMjEmcXVvdDssJnF1b3Q7Q29sdW1uMjImcXVvdDssJnF1b3Q7Q29sdW1uMjMmcXVvdDssJnF1b3Q7Q29sdW1uMjQmcXVvdDssJnF1b3Q7Q29sdW1uMjUmcXVvdDssJnF1b3Q7Q29sdW1uMjYmcXVvdDssJnF1b3Q7Q29sdW1uMjcmcXVvdDssJnF1b3Q7Q29sdW1uMjgmcXVvdDssJnF1b3Q7Q29sdW1uMjkmcXVvdDssJnF1b3Q7Q29sdW1uMzAmcXVvdDssJnF1b3Q7Q29sdW1uMzEmcXVvdDssJnF1b3Q7Q29sdW1uMzImcXVvdDssJnF1b3Q7Q29sdW1uMzMmcXVvdDssJnF1b3Q7Q29sdW1uMzQmcXVvdDssJnF1b3Q7Q29sdW1uMzUmcXVvdDssJnF1b3Q7Q29sdW1uMzYmcXVvdDssJnF1b3Q7Q29sdW1uMzcmcXVvdDssJnF1b3Q7Q29sdW1uMzgmcXVvdDssJnF1b3Q7Q29sdW1uMzkmcXVvdDssJnF1b3Q7Q29sdW1uNDAmcXVvdDssJnF1b3Q7Q29sdW1uNDEmcXVvdDssJnF1b3Q7Q29sdW1uNDImcXVvdDssJnF1b3Q7Q29sdW1uNDMmcXVvdDssJnF1b3Q7Q29sdW1uNDQmcXVvdDssJnF1b3Q7Q29sdW1uNDUmcXVvdDssJnF1b3Q7Q29sdW1uNDYmcXVvdDssJnF1b3Q7Q29sdW1uNDcmcXVvdDssJnF1b3Q7Q29sdW1uNDgmcXVvdDssJnF1b3Q7Q29sdW1uNDkmcXVvdDssJnF1b3Q7Q29sdW1uNTAmcXVvdDssJnF1b3Q7Q29sdW1uNTEmcXVvdDssJnF1b3Q7Q29sdW1uNTImcXVvdDssJnF1b3Q7Q29sdW1uNTMmcXVvdDssJnF1b3Q7Q29sdW1uNTQmcXVvdDssJnF1b3Q7Q29sdW1uNTUmcXVvdDssJnF1b3Q7Q29sdW1uNTYmcXVvdDssJnF1b3Q7Q29sdW1uNTcmcXVvdDssJnF1b3Q7Q29sdW1uNTgmcXVvdDssJnF1b3Q7Q29sdW1uNTkmcXVvdDssJnF1b3Q7Q29sdW1uNjAmcXVvdDssJnF1b3Q7Q29sdW1uNjEmcXVvdDssJnF1b3Q7Q29sdW1uNjImcXVvdDssJnF1b3Q7Q29sdW1uNjMmcXVvdDssJnF1b3Q7Q29sdW1uNjQmcXVvdDssJnF1b3Q7Q29sdW1uNjUmcXVvdDssJnF1b3Q7Q29sdW1uNjYmcXVvdDssJnF1b3Q7Q29sdW1uNjcmcXVvdDssJnF1b3Q7Q29sdW1uNjgmcXVvdDssJnF1b3Q7Q29sdW1uNjkmcXVvdDssJnF1b3Q7Q29sdW1uNzAmcXVvdDssJnF1b3Q7Q29sdW1uNzEmcXVvdDssJnF1b3Q7Q29sdW1uNzImcXVvdDssJnF1b3Q7Q29sdW1uNzMmcXVvdDssJnF1b3Q7Q29sdW1uNzQmcXVvdDssJnF1b3Q7Q29sdW1uNzUmcXVvdDssJnF1b3Q7Q29sdW1uNzYmcXVvdDssJnF1b3Q7Q29sdW1uNzcmcXVvdDssJnF1b3Q7Q29sdW1uNzgmcXVvdDssJnF1b3Q7Q29sdW1uNzkmcXVvdDssJnF1b3Q7Q29sdW1uODAmcXVvdDssJnF1b3Q7Q29sdW1uODEmcXVvdDssJnF1b3Q7Q29sdW1uODImcXVvdDssJnF1b3Q7Q29sdW1uODMmcXVvdDssJnF1b3Q7Q29sdW1uODQmcXVvdDssJnF1b3Q7Q29sdW1uODUmcXVvdDssJnF1b3Q7Q29sdW1uODYmcXVvdDssJnF1b3Q7Q29sdW1uODcmcXVvdDssJnF1b3Q7Q29sdW1uODgmcXVvdDssJnF1b3Q7Q29sdW1uODkmcXVvdDssJnF1b3Q7Q29sdW1uOTAmcXVvdDssJnF1b3Q7Q29sdW1uOTEmcXVvdDssJnF1b3Q7Q29sdW1uOTImcXVvdDssJnF1b3Q7Q29sdW1uOTMmcXVvdDssJnF1b3Q7Q29sdW1uOTQmcXVvdDssJnF1b3Q7Q29sdW1uOTUmcXVvdDssJnF1b3Q7Q29sdW1uOTYmcXVvdDssJnF1b3Q7Q29sdW1uOTcmcXVvdDssJnF1b3Q7Q29sdW1uOTgmcXVvdDssJnF1b3Q7Q29sdW1uOTkmcXVvdDssJnF1b3Q7Q29sdW1uMTAwJnF1b3Q7LCZxdW90O0NvbHVtbjEwMSZxdW90OywmcXVvdDtDb2x1bW4xMDImcXVvdDssJnF1b3Q7Q29sdW1uMTAzJnF1b3Q7LCZxdW90O0NvbHVtbjEwNCZxdW90OywmcXVvdDtDb2x1bW4xMDUmcXVvdDssJnF1b3Q7Q29sdW1uMTA2JnF1b3Q7LCZxdW90O0NvbHVtbjEwNyZxdW90OywmcXVvdDtDb2x1bW4xMDgmcXVvdDssJnF1b3Q7Q29sdW1uMTA5JnF1b3Q7LCZxdW90O0NvbHVtbjExMCZxdW90OywmcXVvdDtDb2x1bW4xMTEmcXVvdDssJnF1b3Q7Q29sdW1uMTEyJnF1b3Q7LCZxdW90O0NvbHVtbjExMyZxdW90OywmcXVvdDtDb2x1bW4xMTQmcXVvdDssJnF1b3Q7Q29sdW1uMTE1JnF1b3Q7LCZxdW90O0NvbHVtbjExNiZxdW90OywmcXVvdDtDb2x1bW4xMTcmcXVvdDssJnF1b3Q7Q29sdW1uMTE4JnF1b3Q7LCZxdW90O0NvbHVtbjExOSZxdW90OywmcXVvdDtDb2x1bW4xMjAmcXVvdDssJnF1b3Q7Q29sdW1uMTIxJnF1b3Q7LCZxdW90O0NvbHVtbjEyMiZxdW90OywmcXVvdDtDb2x1bW4xMjMmcXVvdDssJnF1b3Q7Q29sdW1uMTI0JnF1b3Q7LCZxdW90O0NvbHVtbjEyNSZxdW90OywmcXVvdDtDb2x1bW4xMjYmcXVvdDssJnF1b3Q7Q29sdW1uMTI3JnF1b3Q7LCZxdW90O0NvbHVtbjEyOCZxdW90OywmcXVvdDtDb2x1bW4xMjkmcXVvdDssJnF1b3Q7Q29sdW1uMTMwJnF1b3Q7LCZxdW90O0NvbHVtbjEzMSZxdW90OywmcXVvdDtDb2x1bW4xMzImcXVvdDssJnF1b3Q7Q29sdW1uMTMzJnF1b3Q7LCZxdW90O0NvbHVtbjEzNCZxdW90OywmcXVvdDtDb2x1bW4xMzUmcXVvdDssJnF1b3Q7Q29sdW1uMTM2JnF1b3Q7LCZxdW90O0NvbHVtbjEzNyZxdW90OywmcXVvdDtDb2x1bW4xMzgmcXVvdDssJnF1b3Q7Q29sdW1uMTM5JnF1b3Q7LCZxdW90O0NvbHVtbjE0MCZxdW90OywmcXVvdDtDb2x1bW4xNDEmcXVvdDssJnF1b3Q7Q29sdW1uMTQyJnF1b3Q7LCZxdW90O0NvbHVtbjE0MyZxdW90OywmcXVvdDtDb2x1bW4xNDQmcXVvdDssJnF1b3Q7Q29sdW1uMTQ1JnF1b3Q7LCZxdW90O0NvbHVtbjE0NiZxdW90OywmcXVvdDtDb2x1bW4xNDcmcXVvdDssJnF1b3Q7Q29sdW1uMTQ4JnF1b3Q7LCZxdW90O0NvbHVtbjE0OSZxdW90OywmcXVvdDtDb2x1bW4xNTAmcXVvdDssJnF1b3Q7Q29sdW1uMTUxJnF1b3Q7LCZxdW90O0NvbHVtbjE1MiZxdW90OywmcXVvdDtDb2x1bW4xNTMmcXVvdDssJnF1b3Q7Q29sdW1uMTU0JnF1b3Q7LCZxdW90O0NvbHVtbjE1NSZxdW90OywmcXVvdDtDb2x1bW4xNTYmcXVvdDssJnF1b3Q7Q29sdW1uMTU3JnF1b3Q7LCZxdW90O0NvbHVtbjE1OCZxdW90OywmcXVvdDtDb2x1bW4xNTkmcXVvdDssJnF1b3Q7Q29sdW1uMTYwJnF1b3Q7LCZxdW90O0NvbHVtbjE2MSZxdW90OywmcXVvdDtDb2x1bW4xNjImcXVvdDssJnF1b3Q7Q29sdW1uMTYzJnF1b3Q7LCZxdW90O0NvbHVtbjE2NCZxdW90OywmcXVvdDtDb2x1bW4xNjUmcXVvdDssJnF1b3Q7Q29sdW1uMTY2JnF1b3Q7LCZxdW90O0NvbHVtbjE2NyZxdW90OywmcXVvdDtDb2x1bW4xNjgmcXVvdDssJnF1b3Q7Q29sdW1uMTY5JnF1b3Q7LCZxdW90O0NvbHVtbjE3MCZxdW90OywmcXVvdDtDb2x1bW4xNzEmcXVvdDssJnF1b3Q7Q29sdW1uMTcyJnF1b3Q7LCZxdW90O0NvbHVtbjE3MyZxdW90OywmcXVvdDtDb2x1bW4xNzQmcXVvdDssJnF1b3Q7Q29sdW1uMTc1JnF1b3Q7LCZxdW90O0NvbHVtbjE3NiZxdW90OywmcXVvdDtDb2x1bW4xNzcmcXVvdDssJnF1b3Q7Q29sdW1uMTc4JnF1b3Q7LCZxdW90O0NvbHVtbjE3OSZxdW90OywmcXVvdDtDb2x1bW4xODAmcXVvdDssJnF1b3Q7Q29sdW1uMTgxJnF1b3Q7LCZxdW90O0NvbHVtbjE4MiZxdW90OywmcXVvdDtDb2x1bW4xODMmcXVvdDssJnF1b3Q7Q29sdW1uMTg0JnF1b3Q7LCZxdW90O0NvbHVtbjE4NSZxdW90OywmcXVvdDtDb2x1bW4xODYmcXVvdDssJnF1b3Q7Q29sdW1uMTg3JnF1b3Q7LCZxdW90O0NvbHVtbjE4OCZxdW90OywmcXVvdDtDb2x1bW4xODkmcXVvdDssJnF1b3Q7Q29sdW1uMTkwJnF1b3Q7LCZxdW90O0NvbHVtbjE5MSZxdW90OywmcXVvdDtDb2x1bW4xOTImcXVvdDssJnF1b3Q7Q29sdW1uMTkzJnF1b3Q7LCZxdW90O0NvbHVtbjE5NCZxdW90OywmcXVvdDtDb2x1bW4xOTUmcXVvdDssJnF1b3Q7Q29sdW1uMTk2JnF1b3Q7LCZxdW90O0NvbHVtbjE5NyZxdW90OywmcXVvdDtDb2x1bW4xOTgmcXVvdDssJnF1b3Q7Q29sdW1uMTk5JnF1b3Q7LCZxdW90O0NvbHVtbjIwMCZxdW90OywmcXVvdDtDb2x1bW4yMDEmcXVvdDssJnF1b3Q7Q29sdW1uMjAyJnF1b3Q7LCZxdW90O0NvbHVtbjIwMyZxdW90OywmcXVvdDtDb2x1bW4yMDQmcXVvdDssJnF1b3Q7Q29sdW1uMjA1JnF1b3Q7LCZxdW90O0NvbHVtbjIwNiZxdW90OywmcXVvdDtDb2x1bW4yMDcmcXVvdDssJnF1b3Q7Q29sdW1uMjA4JnF1b3Q7LCZxdW90O0NvbHVtbjIwOSZxdW90OywmcXVvdDtDb2x1bW4yMTAmcXVvdDssJnF1b3Q7Q29sdW1uMjExJnF1b3Q7LCZxdW90O0NvbHVtbjIxMiZxdW90OywmcXVvdDtDb2x1bW4yMTMmcXVvdDssJnF1b3Q7Q29sdW1uMjE0JnF1b3Q7LCZxdW90O0NvbHVtbjIxNSZxdW90OywmcXVvdDtDb2x1bW4yMTYmcXVvdDssJnF1b3Q7Q29sdW1uMjE3JnF1b3Q7LCZxdW90O0NvbHVtbjIxOCZxdW90OywmcXVvdDtDb2x1bW4yMTkmcXVvdDssJnF1b3Q7Q29sdW1uMjIwJnF1b3Q7LCZxdW90O0NvbHVtbjIyMSZxdW90OywmcXVvdDtDb2x1bW4yMjImcXVvdDssJnF1b3Q7Q29sdW1uMjIzJnF1b3Q7LCZxdW90O0NvbHVtbjIyNCZxdW90OywmcXVvdDtDb2x1bW4yMjUmcXVvdDssJnF1b3Q7Q29sdW1uMjI2JnF1b3Q7LCZxdW90O0NvbHVtbjIyNyZxdW90OywmcXVvdDtDb2x1bW4yMjgmcXVvdDssJnF1b3Q7Q29sdW1uMjI5JnF1b3Q7LCZxdW90O0NvbHVtbjIzMCZxdW90OywmcXVvdDtDb2x1bW4yMzEmcXVvdDssJnF1b3Q7Q29sdW1uMjMyJnF1b3Q7LCZxdW90O0NvbHVtbjIzMyZxdW90OywmcXVvdDtDb2x1bW4yMzQmcXVvdDssJnF1b3Q7Q29sdW1uMjM1JnF1b3Q7LCZxdW90O0NvbHVtbjIzNiZxdW90OywmcXVvdDtDb2x1bW4yMzcmcXVvdDssJnF1b3Q7Q29sdW1uMjM4JnF1b3Q7LCZxdW90O0NvbHVtbjIzOSZxdW90OywmcXVvdDtDb2x1bW4yNDAmcXVvdDssJnF1b3Q7Q29sdW1uMjQxJnF1b3Q7LCZxdW90O0NvbHVtbjI0MiZxdW90OywmcXVvdDtDb2x1bW4yNDMmcXVvdDssJnF1b3Q7Q29sdW1uMjQ0JnF1b3Q7LCZxdW90O0NvbHVtbjI0NSZxdW90OywmcXVvdDtDb2x1bW4yNDYmcXVvdDssJnF1b3Q7Q29sdW1uMjQ3JnF1b3Q7LCZxdW90O0NvbHVtbjI0OCZxdW90OywmcXVvdDtDb2x1bW4yNDkmcXVvdDssJnF1b3Q7Q29sdW1uMjUwJnF1b3Q7LCZxdW90O0NvbHVtbjI1MSZxdW90OywmcXVvdDtDb2x1bW4yNTImcXVvdDssJnF1b3Q7Q29sdW1uMjUzJnF1b3Q7LCZxdW90O0NvbHVtbjI1NCZxdW90OywmcXVvdDtDb2x1bW4yNTUmcXVvdDssJnF1b3Q7Q29sdW1uMjU2JnF1b3Q7LCZxdW90O0NvbHVtbjI1NyZxdW90OywmcXVvdDtDb2x1bW4yNTgmcXVvdDssJnF1b3Q7Q29sdW1uMjU5JnF1b3Q7LCZxdW90O0NvbHVtbjI2MCZxdW90OywmcXVvdDtDb2x1bW4yNjEmcXVvdDssJnF1b3Q7Q29sdW1uMjYyJnF1b3Q7LCZxdW90O0NvbHVtbjI2MyZxdW90OywmcXVvdDtDb2x1bW4yNjQmcXVvdDssJnF1b3Q7Q29sdW1uMjY1JnF1b3Q7LCZxdW90O0NvbHVtbjI2NiZxdW90OywmcXVvdDtDb2x1bW4yNjcmcXVvdDssJnF1b3Q7Q29sdW1uMjY4JnF1b3Q7LCZxdW90O0NvbHVtbjI2OSZxdW90OywmcXVvdDtDb2x1bW4yNzAmcXVvdDssJnF1b3Q7Q29sdW1uMjcxJnF1b3Q7LCZxdW90O0NvbHVtbjI3MiZxdW90OywmcXVvdDtDb2x1bW4yNzMmcXVvdDssJnF1b3Q7Q29sdW1uMjc0JnF1b3Q7LCZxdW90O0NvbHVtbjI3NSZxdW90OywmcXVvdDtDb2x1bW4yNzYmcXVvdDssJnF1b3Q7Q29sdW1uMjc3JnF1b3Q7LCZxdW90O0NvbHVtbjI3OCZxdW90OywmcXVvdDtDb2x1bW4yNzkmcXVvdDssJnF1b3Q7Q29sdW1uMjgwJnF1b3Q7LCZxdW90O0NvbHVtbjI4MSZxdW90OywmcXVvdDtDb2x1bW4yODImcXVvdDssJnF1b3Q7Q29sdW1uMjgzJnF1b3Q7LCZxdW90O0NvbHVtbjI4NCZxdW90OywmcXVvdDtDb2x1bW4yODUmcXVvdDssJnF1b3Q7Q29sdW1uMjg2JnF1b3Q7LCZxdW90O0NvbHVtbjI4NyZxdW90OywmcXVvdDtDb2x1bW4yODgmcXVvdDssJnF1b3Q7Q29sdW1uMjg5JnF1b3Q7LCZxdW90O0NvbHVtbjI5MCZxdW90OywmcXVvdDtDb2x1bW4yOTEmcXVvdDssJnF1b3Q7Q29sdW1uMjkyJnF1b3Q7LCZxdW90O0NvbHVtbjI5MyZxdW90OywmcXVvdDtDb2x1bW4yOTQmcXVvdDssJnF1b3Q7Q29sdW1uMjk1JnF1b3Q7LCZxdW90O0NvbHVtbjI5NiZxdW90OywmcXVvdDtDb2x1bW4yOTcmcXVvdDssJnF1b3Q7Q29sdW1uMjk4JnF1b3Q7LCZxdW90O0NvbHVtbjI5OSZxdW90OywmcXVvdDtDb2x1bW4zMDAmcXVvdDssJnF1b3Q7Q29sdW1uMzAxJnF1b3Q7LCZxdW90O0NvbHVtbjMwMiZxdW90OywmcXVvdDtDb2x1bW4zMDMmcXVvdDssJnF1b3Q7Q29sdW1uMzA0JnF1b3Q7LCZxdW90O0NvbHVtbjMwNSZxdW90OywmcXVvdDtDb2x1bW4zMDYmcXVvdDssJnF1b3Q7Q29sdW1uMzA3JnF1b3Q7LCZxdW90O0NvbHVtbjMwOCZxdW90OywmcXVvdDtDb2x1bW4zMDkmcXVvdDssJnF1b3Q7Q29sdW1uMzEwJnF1b3Q7LCZxdW90O0NvbHVtbjMxMSZxdW90OywmcXVvdDtDb2x1bW4zMTImcXVvdDssJnF1b3Q7Q29sdW1uMzEzJnF1b3Q7LCZxdW90O0NvbHVtbjMxNCZxdW90OywmcXVvdDtDb2x1bW4zMTUmcXVvdDssJnF1b3Q7Q29sdW1uMzE2JnF1b3Q7LCZxdW90O0NvbHVtbjMxNyZxdW90O10iIC8+PEVudHJ5IFR5cGU9IkZpbGxTdGF0dXMiIFZhbHVlPSJzQ29tcGxldGUiIC8+PEVudHJ5IFR5cGU9IlJlbGF0aW9uc2hpcEluZm9Db250YWluZXIiIFZhbHVlPSJzeyZxdW90O2NvbHVtbkNvdW50JnF1b3Q7OjMxNywmcXVvdDtrZXlDb2x1bW5OYW1lcyZxdW90OzpbXSwmcXVvdDtxdWVyeVJlbGF0aW9uc2hpcHMmcXVvdDs6W10sJnF1b3Q7Y29sdW1uSWRlbnRpdGllcyZxdW90OzpbJnF1b3Q7U2VjdGlvbjEvbWFwcGluZ19idWRnZXQtVEJPX3dlaWdodGVkICgyKS9UeXBlIGdld2lqemlnZC57Q29sdW1uMSwwfSZxdW90OywmcXVvdDtTZWN0aW9uMS9tYXBwaW5nX2J1ZGdldC1UQk9fd2VpZ2h0ZWQgKDIpL1R5cGUgZ2V3aWp6aWdkLntDb2x1bW4yLDF9JnF1b3Q7LCZxdW90O1NlY3Rpb24xL21hcHBpbmdfYnVkZ2V0LVRCT193ZWlnaHRlZCAoMikvVHlwZSBnZXdpanppZ2Que0NvbHVtbjMsMn0mcXVvdDssJnF1b3Q7U2VjdGlvbjEvbWFwcGluZ19idWRnZXQtVEJPX3dlaWdodGVkICgyKS9UeXBlIGdld2lqemlnZC57Q29sdW1uNCwzfSZxdW90OywmcXVvdDtTZWN0aW9uMS9tYXBwaW5nX2J1ZGdldC1UQk9fd2VpZ2h0ZWQgKDIpL1R5cGUgZ2V3aWp6aWdkLntDb2x1bW41LDR9JnF1b3Q7LCZxdW90O1NlY3Rpb24xL21hcHBpbmdfYnVkZ2V0LVRCT193ZWlnaHRlZCAoMikvVHlwZSBnZXdpanppZ2Que0NvbHVtbjYsNX0mcXVvdDssJnF1b3Q7U2VjdGlvbjEvbWFwcGluZ19idWRnZXQtVEJPX3dlaWdodGVkICgyKS9UeXBlIGdld2lqemlnZC57Q29sdW1uNyw2fSZxdW90OywmcXVvdDtTZWN0aW9uMS9tYXBwaW5nX2J1ZGdldC1UQk9fd2VpZ2h0ZWQgKDIpL1R5cGUgZ2V3aWp6aWdkLntDb2x1bW44LDd9JnF1b3Q7LCZxdW90O1NlY3Rpb24xL21hcHBpbmdfYnVkZ2V0LVRCT193ZWlnaHRlZCAoMikvVHlwZSBnZXdpanppZ2Que0NvbHVtbjksOH0mcXVvdDssJnF1b3Q7U2VjdGlvbjEvbWFwcGluZ19idWRnZXQtVEJPX3dlaWdodGVkICgyKS9UeXBlIGdld2lqemlnZC57Q29sdW1uMTAsOX0mcXVvdDssJnF1b3Q7U2VjdGlvbjEvbWFwcGluZ19idWRnZXQtVEJPX3dlaWdodGVkICgyKS9UeXBlIGdld2lqemlnZC57Q29sdW1uMTEsMTB9JnF1b3Q7LCZxdW90O1NlY3Rpb24xL21hcHBpbmdfYnVkZ2V0LVRCT193ZWlnaHRlZCAoMikvVHlwZSBnZXdpanppZ2Que0NvbHVtbjEyLDExfSZxdW90OywmcXVvdDtTZWN0aW9uMS9tYXBwaW5nX2J1ZGdldC1UQk9fd2VpZ2h0ZWQgKDIpL1R5cGUgZ2V3aWp6aWdkLntDb2x1bW4xMywxMn0mcXVvdDssJnF1b3Q7U2VjdGlvbjEvbWFwcGluZ19idWRnZXQtVEJPX3dlaWdodGVkICgyKS9UeXBlIGdld2lqemlnZC57Q29sdW1uMTQsMTN9JnF1b3Q7LCZxdW90O1NlY3Rpb24xL21hcHBpbmdfYnVkZ2V0LVRCT193ZWlnaHRlZCAoMikvVHlwZSBnZXdpanppZ2Que0NvbHVtbjE1LDE0fSZxdW90OywmcXVvdDtTZWN0aW9uMS9tYXBwaW5nX2J1ZGdldC1UQk9fd2VpZ2h0ZWQgKDIpL1R5cGUgZ2V3aWp6aWdkLntDb2x1bW4xNiwxNX0mcXVvdDssJnF1b3Q7U2VjdGlvbjEvbWFwcGluZ19idWRnZXQtVEJPX3dlaWdodGVkICgyKS9UeXBlIGdld2lqemlnZC57Q29sdW1uMTcsMTZ9JnF1b3Q7LCZxdW90O1NlY3Rpb24xL21hcHBpbmdfYnVkZ2V0LVRCT193ZWlnaHRlZCAoMikvVHlwZSBnZXdpanppZ2Que0NvbHVtbjE4LDE3fSZxdW90OywmcXVvdDtTZWN0aW9uMS9tYXBwaW5nX2J1ZGdldC1UQk9fd2VpZ2h0ZWQgKDIpL1R5cGUgZ2V3aWp6aWdkLntDb2x1bW4xOSwxOH0mcXVvdDssJnF1b3Q7U2VjdGlvbjEvbWFwcGluZ19idWRnZXQtVEJPX3dlaWdodGVkICgyKS9UeXBlIGdld2lqemlnZC57Q29sdW1uMjAsMTl9JnF1b3Q7LCZxdW90O1NlY3Rpb24xL21hcHBpbmdfYnVkZ2V0LVRCT193ZWlnaHRlZCAoMikvVHlwZSBnZXdpanppZ2Que0NvbHVtbjIxLDIwfSZxdW90OywmcXVvdDtTZWN0aW9uMS9tYXBwaW5nX2J1ZGdldC1UQk9fd2VpZ2h0ZWQgKDIpL1R5cGUgZ2V3aWp6aWdkLntDb2x1bW4yMiwyMX0mcXVvdDssJnF1b3Q7U2VjdGlvbjEvbWFwcGluZ19idWRnZXQtVEJPX3dlaWdodGVkICgyKS9UeXBlIGdld2lqemlnZC57Q29sdW1uMjMsMjJ9JnF1b3Q7LCZxdW90O1NlY3Rpb24xL21hcHBpbmdfYnVkZ2V0LVRCT193ZWlnaHRlZCAoMikvVHlwZSBnZXdpanppZ2Que0NvbHVtbjI0LDIzfSZxdW90OywmcXVvdDtTZWN0aW9uMS9tYXBwaW5nX2J1ZGdldC1UQk9fd2VpZ2h0ZWQgKDIpL1R5cGUgZ2V3aWp6aWdkLntDb2x1bW4yNSwyNH0mcXVvdDssJnF1b3Q7U2VjdGlvbjEvbWFwcGluZ19idWRnZXQtVEJPX3dlaWdodGVkICgyKS9UeXBlIGdld2lqemlnZC57Q29sdW1uMjYsMjV9JnF1b3Q7LCZxdW90O1NlY3Rpb24xL21hcHBpbmdfYnVkZ2V0LVRCT193ZWlnaHRlZCAoMikvVHlwZSBnZXdpanppZ2Que0NvbHVtbjI3LDI2fSZxdW90OywmcXVvdDtTZWN0aW9uMS9tYXBwaW5nX2J1ZGdldC1UQk9fd2VpZ2h0ZWQgKDIpL1R5cGUgZ2V3aWp6aWdkLntDb2x1bW4yOCwyN30mcXVvdDssJnF1b3Q7U2VjdGlvbjEvbWFwcGluZ19idWRnZXQtVEJPX3dlaWdodGVkICgyKS9UeXBlIGdld2lqemlnZC57Q29sdW1uMjksMjh9JnF1b3Q7LCZxdW90O1NlY3Rpb24xL21hcHBpbmdfYnVkZ2V0LVRCT193ZWlnaHRlZCAoMikvVHlwZSBnZXdpanppZ2Que0NvbHVtbjMwLDI5fSZxdW90OywmcXVvdDtTZWN0aW9uMS9tYXBwaW5nX2J1ZGdldC1UQk9fd2VpZ2h0ZWQgKDIpL1R5cGUgZ2V3aWp6aWdkLntDb2x1bW4zMSwzMH0mcXVvdDssJnF1b3Q7U2VjdGlvbjEvbWFwcGluZ19idWRnZXQtVEJPX3dlaWdodGVkICgyKS9UeXBlIGdld2lqemlnZC57Q29sdW1uMzIsMzF9JnF1b3Q7LCZxdW90O1NlY3Rpb24xL21hcHBpbmdfYnVkZ2V0LVRCT193ZWlnaHRlZCAoMikvVHlwZSBnZXdpanppZ2Que0NvbHVtbjMzLDMyfSZxdW90OywmcXVvdDtTZWN0aW9uMS9tYXBwaW5nX2J1ZGdldC1UQk9fd2VpZ2h0ZWQgKDIpL1R5cGUgZ2V3aWp6aWdkLntDb2x1bW4zNCwzM30mcXVvdDssJnF1b3Q7U2VjdGlvbjEvbWFwcGluZ19idWRnZXQtVEJPX3dlaWdodGVkICgyKS9UeXBlIGdld2lqemlnZC57Q29sdW1uMzUsMzR9JnF1b3Q7LCZxdW90O1NlY3Rpb24xL21hcHBpbmdfYnVkZ2V0LVRCT193ZWlnaHRlZCAoMikvVHlwZSBnZXdpanppZ2Que0NvbHVtbjM2LDM1fSZxdW90OywmcXVvdDtTZWN0aW9uMS9tYXBwaW5nX2J1ZGdldC1UQk9fd2VpZ2h0ZWQgKDIpL1R5cGUgZ2V3aWp6aWdkLntDb2x1bW4zNywzNn0mcXVvdDssJnF1b3Q7U2VjdGlvbjEvbWFwcGluZ19idWRnZXQtVEJPX3dlaWdodGVkICgyKS9UeXBlIGdld2lqemlnZC57Q29sdW1uMzgsMzd9JnF1b3Q7LCZxdW90O1NlY3Rpb24xL21hcHBpbmdfYnVkZ2V0LVRCT193ZWlnaHRlZCAoMikvVHlwZSBnZXdpanppZ2Que0NvbHVtbjM5LDM4fSZxdW90OywmcXVvdDtTZWN0aW9uMS9tYXBwaW5nX2J1ZGdldC1UQk9fd2VpZ2h0ZWQgKDIpL1R5cGUgZ2V3aWp6aWdkLntDb2x1bW40MCwzOX0mcXVvdDssJnF1b3Q7U2VjdGlvbjEvbWFwcGluZ19idWRnZXQtVEJPX3dlaWdodGVkICgyKS9UeXBlIGdld2lqemlnZC57Q29sdW1uNDEsNDB9JnF1b3Q7LCZxdW90O1NlY3Rpb24xL21hcHBpbmdfYnVkZ2V0LVRCT193ZWlnaHRlZCAoMikvVHlwZSBnZXdpanppZ2Que0NvbHVtbjQyLDQxfSZxdW90OywmcXVvdDtTZWN0aW9uMS9tYXBwaW5nX2J1ZGdldC1UQk9fd2VpZ2h0ZWQgKDIpL1R5cGUgZ2V3aWp6aWdkLntDb2x1bW40Myw0Mn0mcXVvdDssJnF1b3Q7U2VjdGlvbjEvbWFwcGluZ19idWRnZXQtVEJPX3dlaWdodGVkICgyKS9UeXBlIGdld2lqemlnZC57Q29sdW1uNDQsNDN9JnF1b3Q7LCZxdW90O1NlY3Rpb24xL21hcHBpbmdfYnVkZ2V0LVRCT193ZWlnaHRlZCAoMikvVHlwZSBnZXdpanppZ2Que0NvbHVtbjQ1LDQ0fSZxdW90OywmcXVvdDtTZWN0aW9uMS9tYXBwaW5nX2J1ZGdldC1UQk9fd2VpZ2h0ZWQgKDIpL1R5cGUgZ2V3aWp6aWdkLntDb2x1bW40Niw0NX0mcXVvdDssJnF1b3Q7U2VjdGlvbjEvbWFwcGluZ19idWRnZXQtVEJPX3dlaWdodGVkICgyKS9UeXBlIGdld2lqemlnZC57Q29sdW1uNDcsNDZ9JnF1b3Q7LCZxdW90O1NlY3Rpb24xL21hcHBpbmdfYnVkZ2V0LVRCT193ZWlnaHRlZCAoMikvVHlwZSBnZXdpanppZ2Que0NvbHVtbjQ4LDQ3fSZxdW90OywmcXVvdDtTZWN0aW9uMS9tYXBwaW5nX2J1ZGdldC1UQk9fd2VpZ2h0ZWQgKDIpL1R5cGUgZ2V3aWp6aWdkLntDb2x1bW40OSw0OH0mcXVvdDssJnF1b3Q7U2VjdGlvbjEvbWFwcGluZ19idWRnZXQtVEJPX3dlaWdodGVkICgyKS9UeXBlIGdld2lqemlnZC57Q29sdW1uNTAsNDl9JnF1b3Q7LCZxdW90O1NlY3Rpb24xL21hcHBpbmdfYnVkZ2V0LVRCT193ZWlnaHRlZCAoMikvVHlwZSBnZXdpanppZ2Que0NvbHVtbjUxLDUwfSZxdW90OywmcXVvdDtTZWN0aW9uMS9tYXBwaW5nX2J1ZGdldC1UQk9fd2VpZ2h0ZWQgKDIpL1R5cGUgZ2V3aWp6aWdkLntDb2x1bW41Miw1MX0mcXVvdDssJnF1b3Q7U2VjdGlvbjEvbWFwcGluZ19idWRnZXQtVEJPX3dlaWdodGVkICgyKS9UeXBlIGdld2lqemlnZC57Q29sdW1uNTMsNTJ9JnF1b3Q7LCZxdW90O1NlY3Rpb24xL21hcHBpbmdfYnVkZ2V0LVRCT193ZWlnaHRlZCAoMikvVHlwZSBnZXdpanppZ2Que0NvbHVtbjU0LDUzfSZxdW90OywmcXVvdDtTZWN0aW9uMS9tYXBwaW5nX2J1ZGdldC1UQk9fd2VpZ2h0ZWQgKDIpL1R5cGUgZ2V3aWp6aWdkLntDb2x1bW41NSw1NH0mcXVvdDssJnF1b3Q7U2VjdGlvbjEvbWFwcGluZ19idWRnZXQtVEJPX3dlaWdodGVkICgyKS9UeXBlIGdld2lqemlnZC57Q29sdW1uNTYsNTV9JnF1b3Q7LCZxdW90O1NlY3Rpb24xL21hcHBpbmdfYnVkZ2V0LVRCT193ZWlnaHRlZCAoMikvVHlwZSBnZXdpanppZ2Que0NvbHVtbjU3LDU2fSZxdW90OywmcXVvdDtTZWN0aW9uMS9tYXBwaW5nX2J1ZGdldC1UQk9fd2VpZ2h0ZWQgKDIpL1R5cGUgZ2V3aWp6aWdkLntDb2x1bW41OCw1N30mcXVvdDssJnF1b3Q7U2VjdGlvbjEvbWFwcGluZ19idWRnZXQtVEJPX3dlaWdodGVkICgyKS9UeXBlIGdld2lqemlnZC57Q29sdW1uNTksNTh9JnF1b3Q7LCZxdW90O1NlY3Rpb24xL21hcHBpbmdfYnVkZ2V0LVRCT193ZWlnaHRlZCAoMikvVHlwZSBnZXdpanppZ2Que0NvbHVtbjYwLDU5fSZxdW90OywmcXVvdDtTZWN0aW9uMS9tYXBwaW5nX2J1ZGdldC1UQk9fd2VpZ2h0ZWQgKDIpL1R5cGUgZ2V3aWp6aWdkLntDb2x1bW42MSw2MH0mcXVvdDssJnF1b3Q7U2VjdGlvbjEvbWFwcGluZ19idWRnZXQtVEJPX3dlaWdodGVkICgyKS9UeXBlIGdld2lqemlnZC57Q29sdW1uNjIsNjF9JnF1b3Q7LCZxdW90O1NlY3Rpb24xL21hcHBpbmdfYnVkZ2V0LVRCT193ZWlnaHRlZCAoMikvVHlwZSBnZXdpanppZ2Que0NvbHVtbjYzLDYyfSZxdW90OywmcXVvdDtTZWN0aW9uMS9tYXBwaW5nX2J1ZGdldC1UQk9fd2VpZ2h0ZWQgKDIpL1R5cGUgZ2V3aWp6aWdkLntDb2x1bW42NCw2M30mcXVvdDssJnF1b3Q7U2VjdGlvbjEvbWFwcGluZ19idWRnZXQtVEJPX3dlaWdodGVkICgyKS9UeXBlIGdld2lqemlnZC57Q29sdW1uNjUsNjR9JnF1b3Q7LCZxdW90O1NlY3Rpb24xL21hcHBpbmdfYnVkZ2V0LVRCT193ZWlnaHRlZCAoMikvVHlwZSBnZXdpanppZ2Que0NvbHVtbjY2LDY1fSZxdW90OywmcXVvdDtTZWN0aW9uMS9tYXBwaW5nX2J1ZGdldC1UQk9fd2VpZ2h0ZWQgKDIpL1R5cGUgZ2V3aWp6aWdkLntDb2x1bW42Nyw2Nn0mcXVvdDssJnF1b3Q7U2VjdGlvbjEvbWFwcGluZ19idWRnZXQtVEJPX3dlaWdodGVkICgyKS9UeXBlIGdld2lqemlnZC57Q29sdW1uNjgsNjd9JnF1b3Q7LCZxdW90O1NlY3Rpb24xL21hcHBpbmdfYnVkZ2V0LVRCT193ZWlnaHRlZCAoMikvVHlwZSBnZXdpanppZ2Que0NvbHVtbjY5LDY4fSZxdW90OywmcXVvdDtTZWN0aW9uMS9tYXBwaW5nX2J1ZGdldC1UQk9fd2VpZ2h0ZWQgKDIpL1R5cGUgZ2V3aWp6aWdkLntDb2x1bW43MCw2OX0mcXVvdDssJnF1b3Q7U2VjdGlvbjEvbWFwcGluZ19idWRnZXQtVEJPX3dlaWdodGVkICgyKS9UeXBlIGdld2lqemlnZC57Q29sdW1uNzEsNzB9JnF1b3Q7LCZxdW90O1NlY3Rpb24xL21hcHBpbmdfYnVkZ2V0LVRCT193ZWlnaHRlZCAoMikvVHlwZSBnZXdpanppZ2Que0NvbHVtbjcyLDcxfSZxdW90OywmcXVvdDtTZWN0aW9uMS9tYXBwaW5nX2J1ZGdldC1UQk9fd2VpZ2h0ZWQgKDIpL1R5cGUgZ2V3aWp6aWdkLntDb2x1bW43Myw3Mn0mcXVvdDssJnF1b3Q7U2VjdGlvbjEvbWFwcGluZ19idWRnZXQtVEJPX3dlaWdodGVkICgyKS9UeXBlIGdld2lqemlnZC57Q29sdW1uNzQsNzN9JnF1b3Q7LCZxdW90O1NlY3Rpb24xL21hcHBpbmdfYnVkZ2V0LVRCT193ZWlnaHRlZCAoMikvVHlwZSBnZXdpanppZ2Que0NvbHVtbjc1LDc0fSZxdW90OywmcXVvdDtTZWN0aW9uMS9tYXBwaW5nX2J1ZGdldC1UQk9fd2VpZ2h0ZWQgKDIpL1R5cGUgZ2V3aWp6aWdkLntDb2x1bW43Niw3NX0mcXVvdDssJnF1b3Q7U2VjdGlvbjEvbWFwcGluZ19idWRnZXQtVEJPX3dlaWdodGVkICgyKS9UeXBlIGdld2lqemlnZC57Q29sdW1uNzcsNzZ9JnF1b3Q7LCZxdW90O1NlY3Rpb24xL21hcHBpbmdfYnVkZ2V0LVRCT193ZWlnaHRlZCAoMikvVHlwZSBnZXdpanppZ2Que0NvbHVtbjc4LDc3fSZxdW90OywmcXVvdDtTZWN0aW9uMS9tYXBwaW5nX2J1ZGdldC1UQk9fd2VpZ2h0ZWQgKDIpL1R5cGUgZ2V3aWp6aWdkLntDb2x1bW43OSw3OH0mcXVvdDssJnF1b3Q7U2VjdGlvbjEvbWFwcGluZ19idWRnZXQtVEJPX3dlaWdodGVkICgyKS9UeXBlIGdld2lqemlnZC57Q29sdW1uODAsNzl9JnF1b3Q7LCZxdW90O1NlY3Rpb24xL21hcHBpbmdfYnVkZ2V0LVRCT193ZWlnaHRlZCAoMikvVHlwZSBnZXdpanppZ2Que0NvbHVtbjgxLDgwfSZxdW90OywmcXVvdDtTZWN0aW9uMS9tYXBwaW5nX2J1ZGdldC1UQk9fd2VpZ2h0ZWQgKDIpL1R5cGUgZ2V3aWp6aWdkLntDb2x1bW44Miw4MX0mcXVvdDssJnF1b3Q7U2VjdGlvbjEvbWFwcGluZ19idWRnZXQtVEJPX3dlaWdodGVkICgyKS9UeXBlIGdld2lqemlnZC57Q29sdW1uODMsODJ9JnF1b3Q7LCZxdW90O1NlY3Rpb24xL21hcHBpbmdfYnVkZ2V0LVRCT193ZWlnaHRlZCAoMikvVHlwZSBnZXdpanppZ2Que0NvbHVtbjg0LDgzfSZxdW90OywmcXVvdDtTZWN0aW9uMS9tYXBwaW5nX2J1ZGdldC1UQk9fd2VpZ2h0ZWQgKDIpL1R5cGUgZ2V3aWp6aWdkLntDb2x1bW44NSw4NH0mcXVvdDssJnF1b3Q7U2VjdGlvbjEvbWFwcGluZ19idWRnZXQtVEJPX3dlaWdodGVkICgyKS9UeXBlIGdld2lqemlnZC57Q29sdW1uODYsODV9JnF1b3Q7LCZxdW90O1NlY3Rpb24xL21hcHBpbmdfYnVkZ2V0LVRCT193ZWlnaHRlZCAoMikvVHlwZSBnZXdpanppZ2Que0NvbHVtbjg3LDg2fSZxdW90OywmcXVvdDtTZWN0aW9uMS9tYXBwaW5nX2J1ZGdldC1UQk9fd2VpZ2h0ZWQgKDIpL1R5cGUgZ2V3aWp6aWdkLntDb2x1bW44OCw4N30mcXVvdDssJnF1b3Q7U2VjdGlvbjEvbWFwcGluZ19idWRnZXQtVEJPX3dlaWdodGVkICgyKS9UeXBlIGdld2lqemlnZC57Q29sdW1uODksODh9JnF1b3Q7LCZxdW90O1NlY3Rpb24xL21hcHBpbmdfYnVkZ2V0LVRCT193ZWlnaHRlZCAoMikvVHlwZSBnZXdpanppZ2Que0NvbHVtbjkwLDg5fSZxdW90OywmcXVvdDtTZWN0aW9uMS9tYXBwaW5nX2J1ZGdldC1UQk9fd2VpZ2h0ZWQgKDIpL1R5cGUgZ2V3aWp6aWdkLntDb2x1bW45MSw5MH0mcXVvdDssJnF1b3Q7U2VjdGlvbjEvbWFwcGluZ19idWRnZXQtVEJPX3dlaWdodGVkICgyKS9UeXBlIGdld2lqemlnZC57Q29sdW1uOTIsOTF9JnF1b3Q7LCZxdW90O1NlY3Rpb24xL21hcHBpbmdfYnVkZ2V0LVRCT193ZWlnaHRlZCAoMikvVHlwZSBnZXdpanppZ2Que0NvbHVtbjkzLDkyfSZxdW90OywmcXVvdDtTZWN0aW9uMS9tYXBwaW5nX2J1ZGdldC1UQk9fd2VpZ2h0ZWQgKDIpL1R5cGUgZ2V3aWp6aWdkLntDb2x1bW45NCw5M30mcXVvdDssJnF1b3Q7U2VjdGlvbjEvbWFwcGluZ19idWRnZXQtVEJPX3dlaWdodGVkICgyKS9UeXBlIGdld2lqemlnZC57Q29sdW1uOTUsOTR9JnF1b3Q7LCZxdW90O1NlY3Rpb24xL21hcHBpbmdfYnVkZ2V0LVRCT193ZWlnaHRlZCAoMikvVHlwZSBnZXdpanppZ2Que0NvbHVtbjk2LDk1fSZxdW90OywmcXVvdDtTZWN0aW9uMS9tYXBwaW5nX2J1ZGdldC1UQk9fd2VpZ2h0ZWQgKDIpL1R5cGUgZ2V3aWp6aWdkLntDb2x1bW45Nyw5Nn0mcXVvdDssJnF1b3Q7U2VjdGlvbjEvbWFwcGluZ19idWRnZXQtVEJPX3dlaWdodGVkICgyKS9UeXBlIGdld2lqemlnZC57Q29sdW1uOTgsOTd9JnF1b3Q7LCZxdW90O1NlY3Rpb24xL21hcHBpbmdfYnVkZ2V0LVRCT193ZWlnaHRlZCAoMikvVHlwZSBnZXdpanppZ2Que0NvbHVtbjk5LDk4fSZxdW90OywmcXVvdDtTZWN0aW9uMS9tYXBwaW5nX2J1ZGdldC1UQk9fd2VpZ2h0ZWQgKDIpL1R5cGUgZ2V3aWp6aWdkLntDb2x1bW4xMDAsOTl9JnF1b3Q7LCZxdW90O1NlY3Rpb24xL21hcHBpbmdfYnVkZ2V0LVRCT193ZWlnaHRlZCAoMikvVHlwZSBnZXdpanppZ2Que0NvbHVtbjEwMSwxMDB9JnF1b3Q7LCZxdW90O1NlY3Rpb24xL21hcHBpbmdfYnVkZ2V0LVRCT193ZWlnaHRlZCAoMikvVHlwZSBnZXdpanppZ2Que0NvbHVtbjEwMiwxMDF9JnF1b3Q7LCZxdW90O1NlY3Rpb24xL21hcHBpbmdfYnVkZ2V0LVRCT193ZWlnaHRlZCAoMikvVHlwZSBnZXdpanppZ2Que0NvbHVtbjEwMywxMDJ9JnF1b3Q7LCZxdW90O1NlY3Rpb24xL21hcHBpbmdfYnVkZ2V0LVRCT193ZWlnaHRlZCAoMikvVHlwZSBnZXdpanppZ2Que0NvbHVtbjEwNCwxMDN9JnF1b3Q7LCZxdW90O1NlY3Rpb24xL21hcHBpbmdfYnVkZ2V0LVRCT193ZWlnaHRlZCAoMikvVHlwZSBnZXdpanppZ2Que0NvbHVtbjEwNSwxMDR9JnF1b3Q7LCZxdW90O1NlY3Rpb24xL21hcHBpbmdfYnVkZ2V0LVRCT193ZWlnaHRlZCAoMikvVHlwZSBnZXdpanppZ2Que0NvbHVtbjEwNiwxMDV9JnF1b3Q7LCZxdW90O1NlY3Rpb24xL21hcHBpbmdfYnVkZ2V0LVRCT193ZWlnaHRlZCAoMikvVHlwZSBnZXdpanppZ2Que0NvbHVtbjEwNywxMDZ9JnF1b3Q7LCZxdW90O1NlY3Rpb24xL21hcHBpbmdfYnVkZ2V0LVRCT193ZWlnaHRlZCAoMikvVHlwZSBnZXdpanppZ2Que0NvbHVtbjEwOCwxMDd9JnF1b3Q7LCZxdW90O1NlY3Rpb24xL21hcHBpbmdfYnVkZ2V0LVRCT193ZWlnaHRlZCAoMikvVHlwZSBnZXdpanppZ2Que0NvbHVtbjEwOSwxMDh9JnF1b3Q7LCZxdW90O1NlY3Rpb24xL21hcHBpbmdfYnVkZ2V0LVRCT193ZWlnaHRlZCAoMikvVHlwZSBnZXdpanppZ2Que0NvbHVtbjExMCwxMDl9JnF1b3Q7LCZxdW90O1NlY3Rpb24xL21hcHBpbmdfYnVkZ2V0LVRCT193ZWlnaHRlZCAoMikvVHlwZSBnZXdpanppZ2Que0NvbHVtbjExMSwxMTB9JnF1b3Q7LCZxdW90O1NlY3Rpb24xL21hcHBpbmdfYnVkZ2V0LVRCT193ZWlnaHRlZCAoMikvVHlwZSBnZXdpanppZ2Que0NvbHVtbjExMiwxMTF9JnF1b3Q7LCZxdW90O1NlY3Rpb24xL21hcHBpbmdfYnVkZ2V0LVRCT193ZWlnaHRlZCAoMikvVHlwZSBnZXdpanppZ2Que0NvbHVtbjExMywxMTJ9JnF1b3Q7LCZxdW90O1NlY3Rpb24xL21hcHBpbmdfYnVkZ2V0LVRCT193ZWlnaHRlZCAoMikvVHlwZSBnZXdpanppZ2Que0NvbHVtbjExNCwxMTN9JnF1b3Q7LCZxdW90O1NlY3Rpb24xL21hcHBpbmdfYnVkZ2V0LVRCT193ZWlnaHRlZCAoMikvVHlwZSBnZXdpanppZ2Que0NvbHVtbjExNSwxMTR9JnF1b3Q7LCZxdW90O1NlY3Rpb24xL21hcHBpbmdfYnVkZ2V0LVRCT193ZWlnaHRlZCAoMikvVHlwZSBnZXdpanppZ2Que0NvbHVtbjExNiwxMTV9JnF1b3Q7LCZxdW90O1NlY3Rpb24xL21hcHBpbmdfYnVkZ2V0LVRCT193ZWlnaHRlZCAoMikvVHlwZSBnZXdpanppZ2Que0NvbHVtbjExNywxMTZ9JnF1b3Q7LCZxdW90O1NlY3Rpb24xL21hcHBpbmdfYnVkZ2V0LVRCT193ZWlnaHRlZCAoMikvVHlwZSBnZXdpanppZ2Que0NvbHVtbjExOCwxMTd9JnF1b3Q7LCZxdW90O1NlY3Rpb24xL21hcHBpbmdfYnVkZ2V0LVRCT193ZWlnaHRlZCAoMikvVHlwZSBnZXdpanppZ2Que0NvbHVtbjExOSwxMTh9JnF1b3Q7LCZxdW90O1NlY3Rpb24xL21hcHBpbmdfYnVkZ2V0LVRCT193ZWlnaHRlZCAoMikvVHlwZSBnZXdpanppZ2Que0NvbHVtbjEyMCwxMTl9JnF1b3Q7LCZxdW90O1NlY3Rpb24xL21hcHBpbmdfYnVkZ2V0LVRCT193ZWlnaHRlZCAoMikvVHlwZSBnZXdpanppZ2Que0NvbHVtbjEyMSwxMjB9JnF1b3Q7LCZxdW90O1NlY3Rpb24xL21hcHBpbmdfYnVkZ2V0LVRCT193ZWlnaHRlZCAoMikvVHlwZSBnZXdpanppZ2Que0NvbHVtbjEyMiwxMjF9JnF1b3Q7LCZxdW90O1NlY3Rpb24xL21hcHBpbmdfYnVkZ2V0LVRCT193ZWlnaHRlZCAoMikvVHlwZSBnZXdpanppZ2Que0NvbHVtbjEyMywxMjJ9JnF1b3Q7LCZxdW90O1NlY3Rpb24xL21hcHBpbmdfYnVkZ2V0LVRCT193ZWlnaHRlZCAoMikvVHlwZSBnZXdpanppZ2Que0NvbHVtbjEyNCwxMjN9JnF1b3Q7LCZxdW90O1NlY3Rpb24xL21hcHBpbmdfYnVkZ2V0LVRCT193ZWlnaHRlZCAoMikvVHlwZSBnZXdpanppZ2Que0NvbHVtbjEyNSwxMjR9JnF1b3Q7LCZxdW90O1NlY3Rpb24xL21hcHBpbmdfYnVkZ2V0LVRCT193ZWlnaHRlZCAoMikvVHlwZSBnZXdpanppZ2Que0NvbHVtbjEyNiwxMjV9JnF1b3Q7LCZxdW90O1NlY3Rpb24xL21hcHBpbmdfYnVkZ2V0LVRCT193ZWlnaHRlZCAoMikvVHlwZSBnZXdpanppZ2Que0NvbHVtbjEyNywxMjZ9JnF1b3Q7LCZxdW90O1NlY3Rpb24xL21hcHBpbmdfYnVkZ2V0LVRCT193ZWlnaHRlZCAoMikvVHlwZSBnZXdpanppZ2Que0NvbHVtbjEyOCwxMjd9JnF1b3Q7LCZxdW90O1NlY3Rpb24xL21hcHBpbmdfYnVkZ2V0LVRCT193ZWlnaHRlZCAoMikvVHlwZSBnZXdpanppZ2Que0NvbHVtbjEyOSwxMjh9JnF1b3Q7LCZxdW90O1NlY3Rpb24xL21hcHBpbmdfYnVkZ2V0LVRCT193ZWlnaHRlZCAoMikvVHlwZSBnZXdpanppZ2Que0NvbHVtbjEzMCwxMjl9JnF1b3Q7LCZxdW90O1NlY3Rpb24xL21hcHBpbmdfYnVkZ2V0LVRCT193ZWlnaHRlZCAoMikvVHlwZSBnZXdpanppZ2Que0NvbHVtbjEzMSwxMzB9JnF1b3Q7LCZxdW90O1NlY3Rpb24xL21hcHBpbmdfYnVkZ2V0LVRCT193ZWlnaHRlZCAoMikvVHlwZSBnZXdpanppZ2Que0NvbHVtbjEzMiwxMzF9JnF1b3Q7LCZxdW90O1NlY3Rpb24xL21hcHBpbmdfYnVkZ2V0LVRCT193ZWlnaHRlZCAoMikvVHlwZSBnZXdpanppZ2Que0NvbHVtbjEzMywxMzJ9JnF1b3Q7LCZxdW90O1NlY3Rpb24xL21hcHBpbmdfYnVkZ2V0LVRCT193ZWlnaHRlZCAoMikvVHlwZSBnZXdpanppZ2Que0NvbHVtbjEzNCwxMzN9JnF1b3Q7LCZxdW90O1NlY3Rpb24xL21hcHBpbmdfYnVkZ2V0LVRCT193ZWlnaHRlZCAoMikvVHlwZSBnZXdpanppZ2Que0NvbHVtbjEzNSwxMzR9JnF1b3Q7LCZxdW90O1NlY3Rpb24xL21hcHBpbmdfYnVkZ2V0LVRCT193ZWlnaHRlZCAoMikvVHlwZSBnZXdpanppZ2Que0NvbHVtbjEzNiwxMzV9JnF1b3Q7LCZxdW90O1NlY3Rpb24xL21hcHBpbmdfYnVkZ2V0LVRCT193ZWlnaHRlZCAoMikvVHlwZSBnZXdpanppZ2Que0NvbHVtbjEzNywxMzZ9JnF1b3Q7LCZxdW90O1NlY3Rpb24xL21hcHBpbmdfYnVkZ2V0LVRCT193ZWlnaHRlZCAoMikvVHlwZSBnZXdpanppZ2Que0NvbHVtbjEzOCwxMzd9JnF1b3Q7LCZxdW90O1NlY3Rpb24xL21hcHBpbmdfYnVkZ2V0LVRCT193ZWlnaHRlZCAoMikvVHlwZSBnZXdpanppZ2Que0NvbHVtbjEzOSwxMzh9JnF1b3Q7LCZxdW90O1NlY3Rpb24xL21hcHBpbmdfYnVkZ2V0LVRCT193ZWlnaHRlZCAoMikvVHlwZSBnZXdpanppZ2Que0NvbHVtbjE0MCwxMzl9JnF1b3Q7LCZxdW90O1NlY3Rpb24xL21hcHBpbmdfYnVkZ2V0LVRCT193ZWlnaHRlZCAoMikvVHlwZSBnZXdpanppZ2Que0NvbHVtbjE0MSwxNDB9JnF1b3Q7LCZxdW90O1NlY3Rpb24xL21hcHBpbmdfYnVkZ2V0LVRCT193ZWlnaHRlZCAoMikvVHlwZSBnZXdpanppZ2Que0NvbHVtbjE0MiwxNDF9JnF1b3Q7LCZxdW90O1NlY3Rpb24xL21hcHBpbmdfYnVkZ2V0LVRCT193ZWlnaHRlZCAoMikvVHlwZSBnZXdpanppZ2Que0NvbHVtbjE0MywxNDJ9JnF1b3Q7LCZxdW90O1NlY3Rpb24xL21hcHBpbmdfYnVkZ2V0LVRCT193ZWlnaHRlZCAoMikvVHlwZSBnZXdpanppZ2Que0NvbHVtbjE0NCwxNDN9JnF1b3Q7LCZxdW90O1NlY3Rpb24xL21hcHBpbmdfYnVkZ2V0LVRCT193ZWlnaHRlZCAoMikvVHlwZSBnZXdpanppZ2Que0NvbHVtbjE0NSwxNDR9JnF1b3Q7LCZxdW90O1NlY3Rpb24xL21hcHBpbmdfYnVkZ2V0LVRCT193ZWlnaHRlZCAoMikvVHlwZSBnZXdpanppZ2Que0NvbHVtbjE0NiwxNDV9JnF1b3Q7LCZxdW90O1NlY3Rpb24xL21hcHBpbmdfYnVkZ2V0LVRCT193ZWlnaHRlZCAoMikvVHlwZSBnZXdpanppZ2Que0NvbHVtbjE0NywxNDZ9JnF1b3Q7LCZxdW90O1NlY3Rpb24xL21hcHBpbmdfYnVkZ2V0LVRCT193ZWlnaHRlZCAoMikvVHlwZSBnZXdpanppZ2Que0NvbHVtbjE0OCwxNDd9JnF1b3Q7LCZxdW90O1NlY3Rpb24xL21hcHBpbmdfYnVkZ2V0LVRCT193ZWlnaHRlZCAoMikvVHlwZSBnZXdpanppZ2Que0NvbHVtbjE0OSwxNDh9JnF1b3Q7LCZxdW90O1NlY3Rpb24xL21hcHBpbmdfYnVkZ2V0LVRCT193ZWlnaHRlZCAoMikvVHlwZSBnZXdpanppZ2Que0NvbHVtbjE1MCwxNDl9JnF1b3Q7LCZxdW90O1NlY3Rpb24xL21hcHBpbmdfYnVkZ2V0LVRCT193ZWlnaHRlZCAoMikvVHlwZSBnZXdpanppZ2Que0NvbHVtbjE1MSwxNTB9JnF1b3Q7LCZxdW90O1NlY3Rpb24xL21hcHBpbmdfYnVkZ2V0LVRCT193ZWlnaHRlZCAoMikvVHlwZSBnZXdpanppZ2Que0NvbHVtbjE1MiwxNTF9JnF1b3Q7LCZxdW90O1NlY3Rpb24xL21hcHBpbmdfYnVkZ2V0LVRCT193ZWlnaHRlZCAoMikvVHlwZSBnZXdpanppZ2Que0NvbHVtbjE1MywxNTJ9JnF1b3Q7LCZxdW90O1NlY3Rpb24xL21hcHBpbmdfYnVkZ2V0LVRCT193ZWlnaHRlZCAoMikvVHlwZSBnZXdpanppZ2Que0NvbHVtbjE1NCwxNTN9JnF1b3Q7LCZxdW90O1NlY3Rpb24xL21hcHBpbmdfYnVkZ2V0LVRCT193ZWlnaHRlZCAoMikvVHlwZSBnZXdpanppZ2Que0NvbHVtbjE1NSwxNTR9JnF1b3Q7LCZxdW90O1NlY3Rpb24xL21hcHBpbmdfYnVkZ2V0LVRCT193ZWlnaHRlZCAoMikvVHlwZSBnZXdpanppZ2Que0NvbHVtbjE1NiwxNTV9JnF1b3Q7LCZxdW90O1NlY3Rpb24xL21hcHBpbmdfYnVkZ2V0LVRCT193ZWlnaHRlZCAoMikvVHlwZSBnZXdpanppZ2Que0NvbHVtbjE1NywxNTZ9JnF1b3Q7LCZxdW90O1NlY3Rpb24xL21hcHBpbmdfYnVkZ2V0LVRCT193ZWlnaHRlZCAoMikvVHlwZSBnZXdpanppZ2Que0NvbHVtbjE1OCwxNTd9JnF1b3Q7LCZxdW90O1NlY3Rpb24xL21hcHBpbmdfYnVkZ2V0LVRCT193ZWlnaHRlZCAoMikvVHlwZSBnZXdpanppZ2Que0NvbHVtbjE1OSwxNTh9JnF1b3Q7LCZxdW90O1NlY3Rpb24xL21hcHBpbmdfYnVkZ2V0LVRCT193ZWlnaHRlZCAoMikvVHlwZSBnZXdpanppZ2Que0NvbHVtbjE2MCwxNTl9JnF1b3Q7LCZxdW90O1NlY3Rpb24xL21hcHBpbmdfYnVkZ2V0LVRCT193ZWlnaHRlZCAoMikvVHlwZSBnZXdpanppZ2Que0NvbHVtbjE2MSwxNjB9JnF1b3Q7LCZxdW90O1NlY3Rpb24xL21hcHBpbmdfYnVkZ2V0LVRCT193ZWlnaHRlZCAoMikvVHlwZSBnZXdpanppZ2Que0NvbHVtbjE2MiwxNjF9JnF1b3Q7LCZxdW90O1NlY3Rpb24xL21hcHBpbmdfYnVkZ2V0LVRCT193ZWlnaHRlZCAoMikvVHlwZSBnZXdpanppZ2Que0NvbHVtbjE2MywxNjJ9JnF1b3Q7LCZxdW90O1NlY3Rpb24xL21hcHBpbmdfYnVkZ2V0LVRCT193ZWlnaHRlZCAoMikvVHlwZSBnZXdpanppZ2Que0NvbHVtbjE2NCwxNjN9JnF1b3Q7LCZxdW90O1NlY3Rpb24xL21hcHBpbmdfYnVkZ2V0LVRCT193ZWlnaHRlZCAoMikvVHlwZSBnZXdpanppZ2Que0NvbHVtbjE2NSwxNjR9JnF1b3Q7LCZxdW90O1NlY3Rpb24xL21hcHBpbmdfYnVkZ2V0LVRCT193ZWlnaHRlZCAoMikvVHlwZSBnZXdpanppZ2Que0NvbHVtbjE2NiwxNjV9JnF1b3Q7LCZxdW90O1NlY3Rpb24xL21hcHBpbmdfYnVkZ2V0LVRCT193ZWlnaHRlZCAoMikvVHlwZSBnZXdpanppZ2Que0NvbHVtbjE2NywxNjZ9JnF1b3Q7LCZxdW90O1NlY3Rpb24xL21hcHBpbmdfYnVkZ2V0LVRCT193ZWlnaHRlZCAoMikvVHlwZSBnZXdpanppZ2Que0NvbHVtbjE2OCwxNjd9JnF1b3Q7LCZxdW90O1NlY3Rpb24xL21hcHBpbmdfYnVkZ2V0LVRCT193ZWlnaHRlZCAoMikvVHlwZSBnZXdpanppZ2Que0NvbHVtbjE2OSwxNjh9JnF1b3Q7LCZxdW90O1NlY3Rpb24xL21hcHBpbmdfYnVkZ2V0LVRCT193ZWlnaHRlZCAoMikvVHlwZSBnZXdpanppZ2Que0NvbHVtbjE3MCwxNjl9JnF1b3Q7LCZxdW90O1NlY3Rpb24xL21hcHBpbmdfYnVkZ2V0LVRCT193ZWlnaHRlZCAoMikvVHlwZSBnZXdpanppZ2Que0NvbHVtbjE3MSwxNzB9JnF1b3Q7LCZxdW90O1NlY3Rpb24xL21hcHBpbmdfYnVkZ2V0LVRCT193ZWlnaHRlZCAoMikvVHlwZSBnZXdpanppZ2Que0NvbHVtbjE3MiwxNzF9JnF1b3Q7LCZxdW90O1NlY3Rpb24xL21hcHBpbmdfYnVkZ2V0LVRCT193ZWlnaHRlZCAoMikvVHlwZSBnZXdpanppZ2Que0NvbHVtbjE3MywxNzJ9JnF1b3Q7LCZxdW90O1NlY3Rpb24xL21hcHBpbmdfYnVkZ2V0LVRCT193ZWlnaHRlZCAoMikvVHlwZSBnZXdpanppZ2Que0NvbHVtbjE3NCwxNzN9JnF1b3Q7LCZxdW90O1NlY3Rpb24xL21hcHBpbmdfYnVkZ2V0LVRCT193ZWlnaHRlZCAoMikvVHlwZSBnZXdpanppZ2Que0NvbHVtbjE3NSwxNzR9JnF1b3Q7LCZxdW90O1NlY3Rpb24xL21hcHBpbmdfYnVkZ2V0LVRCT193ZWlnaHRlZCAoMikvVHlwZSBnZXdpanppZ2Que0NvbHVtbjE3NiwxNzV9JnF1b3Q7LCZxdW90O1NlY3Rpb24xL21hcHBpbmdfYnVkZ2V0LVRCT193ZWlnaHRlZCAoMikvVHlwZSBnZXdpanppZ2Que0NvbHVtbjE3NywxNzZ9JnF1b3Q7LCZxdW90O1NlY3Rpb24xL21hcHBpbmdfYnVkZ2V0LVRCT193ZWlnaHRlZCAoMikvVHlwZSBnZXdpanppZ2Que0NvbHVtbjE3OCwxNzd9JnF1b3Q7LCZxdW90O1NlY3Rpb24xL21hcHBpbmdfYnVkZ2V0LVRCT193ZWlnaHRlZCAoMikvVHlwZSBnZXdpanppZ2Que0NvbHVtbjE3OSwxNzh9JnF1b3Q7LCZxdW90O1NlY3Rpb24xL21hcHBpbmdfYnVkZ2V0LVRCT193ZWlnaHRlZCAoMikvVHlwZSBnZXdpanppZ2Que0NvbHVtbjE4MCwxNzl9JnF1b3Q7LCZxdW90O1NlY3Rpb24xL21hcHBpbmdfYnVkZ2V0LVRCT193ZWlnaHRlZCAoMikvVHlwZSBnZXdpanppZ2Que0NvbHVtbjE4MSwxODB9JnF1b3Q7LCZxdW90O1NlY3Rpb24xL21hcHBpbmdfYnVkZ2V0LVRCT193ZWlnaHRlZCAoMikvVHlwZSBnZXdpanppZ2Que0NvbHVtbjE4MiwxODF9JnF1b3Q7LCZxdW90O1NlY3Rpb24xL21hcHBpbmdfYnVkZ2V0LVRCT193ZWlnaHRlZCAoMikvVHlwZSBnZXdpanppZ2Que0NvbHVtbjE4MywxODJ9JnF1b3Q7LCZxdW90O1NlY3Rpb24xL21hcHBpbmdfYnVkZ2V0LVRCT193ZWlnaHRlZCAoMikvVHlwZSBnZXdpanppZ2Que0NvbHVtbjE4NCwxODN9JnF1b3Q7LCZxdW90O1NlY3Rpb24xL21hcHBpbmdfYnVkZ2V0LVRCT193ZWlnaHRlZCAoMikvVHlwZSBnZXdpanppZ2Que0NvbHVtbjE4NSwxODR9JnF1b3Q7LCZxdW90O1NlY3Rpb24xL21hcHBpbmdfYnVkZ2V0LVRCT193ZWlnaHRlZCAoMikvVHlwZSBnZXdpanppZ2Que0NvbHVtbjE4NiwxODV9JnF1b3Q7LCZxdW90O1NlY3Rpb24xL21hcHBpbmdfYnVkZ2V0LVRCT193ZWlnaHRlZCAoMikvVHlwZSBnZXdpanppZ2Que0NvbHVtbjE4NywxODZ9JnF1b3Q7LCZxdW90O1NlY3Rpb24xL21hcHBpbmdfYnVkZ2V0LVRCT193ZWlnaHRlZCAoMikvVHlwZSBnZXdpanppZ2Que0NvbHVtbjE4OCwxODd9JnF1b3Q7LCZxdW90O1NlY3Rpb24xL21hcHBpbmdfYnVkZ2V0LVRCT193ZWlnaHRlZCAoMikvVHlwZSBnZXdpanppZ2Que0NvbHVtbjE4OSwxODh9JnF1b3Q7LCZxdW90O1NlY3Rpb24xL21hcHBpbmdfYnVkZ2V0LVRCT193ZWlnaHRlZCAoMikvVHlwZSBnZXdpanppZ2Que0NvbHVtbjE5MCwxODl9JnF1b3Q7LCZxdW90O1NlY3Rpb24xL21hcHBpbmdfYnVkZ2V0LVRCT193ZWlnaHRlZCAoMikvVHlwZSBnZXdpanppZ2Que0NvbHVtbjE5MSwxOTB9JnF1b3Q7LCZxdW90O1NlY3Rpb24xL21hcHBpbmdfYnVkZ2V0LVRCT193ZWlnaHRlZCAoMikvVHlwZSBnZXdpanppZ2Que0NvbHVtbjE5MiwxOTF9JnF1b3Q7LCZxdW90O1NlY3Rpb24xL21hcHBpbmdfYnVkZ2V0LVRCT193ZWlnaHRlZCAoMikvVHlwZSBnZXdpanppZ2Que0NvbHVtbjE5MywxOTJ9JnF1b3Q7LCZxdW90O1NlY3Rpb24xL21hcHBpbmdfYnVkZ2V0LVRCT193ZWlnaHRlZCAoMikvVHlwZSBnZXdpanppZ2Que0NvbHVtbjE5NCwxOTN9JnF1b3Q7LCZxdW90O1NlY3Rpb24xL21hcHBpbmdfYnVkZ2V0LVRCT193ZWlnaHRlZCAoMikvVHlwZSBnZXdpanppZ2Que0NvbHVtbjE5NSwxOTR9JnF1b3Q7LCZxdW90O1NlY3Rpb24xL21hcHBpbmdfYnVkZ2V0LVRCT193ZWlnaHRlZCAoMikvVHlwZSBnZXdpanppZ2Que0NvbHVtbjE5NiwxOTV9JnF1b3Q7LCZxdW90O1NlY3Rpb24xL21hcHBpbmdfYnVkZ2V0LVRCT193ZWlnaHRlZCAoMikvVHlwZSBnZXdpanppZ2Que0NvbHVtbjE5NywxOTZ9JnF1b3Q7LCZxdW90O1NlY3Rpb24xL21hcHBpbmdfYnVkZ2V0LVRCT193ZWlnaHRlZCAoMikvVHlwZSBnZXdpanppZ2Que0NvbHVtbjE5OCwxOTd9JnF1b3Q7LCZxdW90O1NlY3Rpb24xL21hcHBpbmdfYnVkZ2V0LVRCT193ZWlnaHRlZCAoMikvVHlwZSBnZXdpanppZ2Que0NvbHVtbjE5OSwxOTh9JnF1b3Q7LCZxdW90O1NlY3Rpb24xL21hcHBpbmdfYnVkZ2V0LVRCT193ZWlnaHRlZCAoMikvVHlwZSBnZXdpanppZ2Que0NvbHVtbjIwMCwxOTl9JnF1b3Q7LCZxdW90O1NlY3Rpb24xL21hcHBpbmdfYnVkZ2V0LVRCT193ZWlnaHRlZCAoMikvVHlwZSBnZXdpanppZ2Que0NvbHVtbjIwMSwyMDB9JnF1b3Q7LCZxdW90O1NlY3Rpb24xL21hcHBpbmdfYnVkZ2V0LVRCT193ZWlnaHRlZCAoMikvVHlwZSBnZXdpanppZ2Que0NvbHVtbjIwMiwyMDF9JnF1b3Q7LCZxdW90O1NlY3Rpb24xL21hcHBpbmdfYnVkZ2V0LVRCT193ZWlnaHRlZCAoMikvVHlwZSBnZXdpanppZ2Que0NvbHVtbjIwMywyMDJ9JnF1b3Q7LCZxdW90O1NlY3Rpb24xL21hcHBpbmdfYnVkZ2V0LVRCT193ZWlnaHRlZCAoMikvVHlwZSBnZXdpanppZ2Que0NvbHVtbjIwNCwyMDN9JnF1b3Q7LCZxdW90O1NlY3Rpb24xL21hcHBpbmdfYnVkZ2V0LVRCT193ZWlnaHRlZCAoMikvVHlwZSBnZXdpanppZ2Que0NvbHVtbjIwNSwyMDR9JnF1b3Q7LCZxdW90O1NlY3Rpb24xL21hcHBpbmdfYnVkZ2V0LVRCT193ZWlnaHRlZCAoMikvVHlwZSBnZXdpanppZ2Que0NvbHVtbjIwNiwyMDV9JnF1b3Q7LCZxdW90O1NlY3Rpb24xL21hcHBpbmdfYnVkZ2V0LVRCT193ZWlnaHRlZCAoMikvVHlwZSBnZXdpanppZ2Que0NvbHVtbjIwNywyMDZ9JnF1b3Q7LCZxdW90O1NlY3Rpb24xL21hcHBpbmdfYnVkZ2V0LVRCT193ZWlnaHRlZCAoMikvVHlwZSBnZXdpanppZ2Que0NvbHVtbjIwOCwyMDd9JnF1b3Q7LCZxdW90O1NlY3Rpb24xL21hcHBpbmdfYnVkZ2V0LVRCT193ZWlnaHRlZCAoMikvVHlwZSBnZXdpanppZ2Que0NvbHVtbjIwOSwyMDh9JnF1b3Q7LCZxdW90O1NlY3Rpb24xL21hcHBpbmdfYnVkZ2V0LVRCT193ZWlnaHRlZCAoMikvVHlwZSBnZXdpanppZ2Que0NvbHVtbjIxMCwyMDl9JnF1b3Q7LCZxdW90O1NlY3Rpb24xL21hcHBpbmdfYnVkZ2V0LVRCT193ZWlnaHRlZCAoMikvVHlwZSBnZXdpanppZ2Que0NvbHVtbjIxMSwyMTB9JnF1b3Q7LCZxdW90O1NlY3Rpb24xL21hcHBpbmdfYnVkZ2V0LVRCT193ZWlnaHRlZCAoMikvVHlwZSBnZXdpanppZ2Que0NvbHVtbjIxMiwyMTF9JnF1b3Q7LCZxdW90O1NlY3Rpb24xL21hcHBpbmdfYnVkZ2V0LVRCT193ZWlnaHRlZCAoMikvVHlwZSBnZXdpanppZ2Que0NvbHVtbjIxMywyMTJ9JnF1b3Q7LCZxdW90O1NlY3Rpb24xL21hcHBpbmdfYnVkZ2V0LVRCT193ZWlnaHRlZCAoMikvVHlwZSBnZXdpanppZ2Que0NvbHVtbjIxNCwyMTN9JnF1b3Q7LCZxdW90O1NlY3Rpb24xL21hcHBpbmdfYnVkZ2V0LVRCT193ZWlnaHRlZCAoMikvVHlwZSBnZXdpanppZ2Que0NvbHVtbjIxNSwyMTR9JnF1b3Q7LCZxdW90O1NlY3Rpb24xL21hcHBpbmdfYnVkZ2V0LVRCT193ZWlnaHRlZCAoMikvVHlwZSBnZXdpanppZ2Que0NvbHVtbjIxNiwyMTV9JnF1b3Q7LCZxdW90O1NlY3Rpb24xL21hcHBpbmdfYnVkZ2V0LVRCT193ZWlnaHRlZCAoMikvVHlwZSBnZXdpanppZ2Que0NvbHVtbjIxNywyMTZ9JnF1b3Q7LCZxdW90O1NlY3Rpb24xL21hcHBpbmdfYnVkZ2V0LVRCT193ZWlnaHRlZCAoMikvVHlwZSBnZXdpanppZ2Que0NvbHVtbjIxOCwyMTd9JnF1b3Q7LCZxdW90O1NlY3Rpb24xL21hcHBpbmdfYnVkZ2V0LVRCT193ZWlnaHRlZCAoMikvVHlwZSBnZXdpanppZ2Que0NvbHVtbjIxOSwyMTh9JnF1b3Q7LCZxdW90O1NlY3Rpb24xL21hcHBpbmdfYnVkZ2V0LVRCT193ZWlnaHRlZCAoMikvVHlwZSBnZXdpanppZ2Que0NvbHVtbjIyMCwyMTl9JnF1b3Q7LCZxdW90O1NlY3Rpb24xL21hcHBpbmdfYnVkZ2V0LVRCT193ZWlnaHRlZCAoMikvVHlwZSBnZXdpanppZ2Que0NvbHVtbjIyMSwyMjB9JnF1b3Q7LCZxdW90O1NlY3Rpb24xL21hcHBpbmdfYnVkZ2V0LVRCT193ZWlnaHRlZCAoMikvVHlwZSBnZXdpanppZ2Que0NvbHVtbjIyMiwyMjF9JnF1b3Q7LCZxdW90O1NlY3Rpb24xL21hcHBpbmdfYnVkZ2V0LVRCT193ZWlnaHRlZCAoMikvVHlwZSBnZXdpanppZ2Que0NvbHVtbjIyMywyMjJ9JnF1b3Q7LCZxdW90O1NlY3Rpb24xL21hcHBpbmdfYnVkZ2V0LVRCT193ZWlnaHRlZCAoMikvVHlwZSBnZXdpanppZ2Que0NvbHVtbjIyNCwyMjN9JnF1b3Q7LCZxdW90O1NlY3Rpb24xL21hcHBpbmdfYnVkZ2V0LVRCT193ZWlnaHRlZCAoMikvVHlwZSBnZXdpanppZ2Que0NvbHVtbjIyNSwyMjR9JnF1b3Q7LCZxdW90O1NlY3Rpb24xL21hcHBpbmdfYnVkZ2V0LVRCT193ZWlnaHRlZCAoMikvVHlwZSBnZXdpanppZ2Que0NvbHVtbjIyNiwyMjV9JnF1b3Q7LCZxdW90O1NlY3Rpb24xL21hcHBpbmdfYnVkZ2V0LVRCT193ZWlnaHRlZCAoMikvVHlwZSBnZXdpanppZ2Que0NvbHVtbjIyNywyMjZ9JnF1b3Q7LCZxdW90O1NlY3Rpb24xL21hcHBpbmdfYnVkZ2V0LVRCT193ZWlnaHRlZCAoMikvVHlwZSBnZXdpanppZ2Que0NvbHVtbjIyOCwyMjd9JnF1b3Q7LCZxdW90O1NlY3Rpb24xL21hcHBpbmdfYnVkZ2V0LVRCT193ZWlnaHRlZCAoMikvVHlwZSBnZXdpanppZ2Que0NvbHVtbjIyOSwyMjh9JnF1b3Q7LCZxdW90O1NlY3Rpb24xL21hcHBpbmdfYnVkZ2V0LVRCT193ZWlnaHRlZCAoMikvVHlwZSBnZXdpanppZ2Que0NvbHVtbjIzMCwyMjl9JnF1b3Q7LCZxdW90O1NlY3Rpb24xL21hcHBpbmdfYnVkZ2V0LVRCT193ZWlnaHRlZCAoMikvVHlwZSBnZXdpanppZ2Que0NvbHVtbjIzMSwyMzB9JnF1b3Q7LCZxdW90O1NlY3Rpb24xL21hcHBpbmdfYnVkZ2V0LVRCT193ZWlnaHRlZCAoMikvVHlwZSBnZXdpanppZ2Que0NvbHVtbjIzMiwyMzF9JnF1b3Q7LCZxdW90O1NlY3Rpb24xL21hcHBpbmdfYnVkZ2V0LVRCT193ZWlnaHRlZCAoMikvVHlwZSBnZXdpanppZ2Que0NvbHVtbjIzMywyMzJ9JnF1b3Q7LCZxdW90O1NlY3Rpb24xL21hcHBpbmdfYnVkZ2V0LVRCT193ZWlnaHRlZCAoMikvVHlwZSBnZXdpanppZ2Que0NvbHVtbjIzNCwyMzN9JnF1b3Q7LCZxdW90O1NlY3Rpb24xL21hcHBpbmdfYnVkZ2V0LVRCT193ZWlnaHRlZCAoMikvVHlwZSBnZXdpanppZ2Que0NvbHVtbjIzNSwyMzR9JnF1b3Q7LCZxdW90O1NlY3Rpb24xL21hcHBpbmdfYnVkZ2V0LVRCT193ZWlnaHRlZCAoMikvVHlwZSBnZXdpanppZ2Que0NvbHVtbjIzNiwyMzV9JnF1b3Q7LCZxdW90O1NlY3Rpb24xL21hcHBpbmdfYnVkZ2V0LVRCT193ZWlnaHRlZCAoMikvVHlwZSBnZXdpanppZ2Que0NvbHVtbjIzNywyMzZ9JnF1b3Q7LCZxdW90O1NlY3Rpb24xL21hcHBpbmdfYnVkZ2V0LVRCT193ZWlnaHRlZCAoMikvVHlwZSBnZXdpanppZ2Que0NvbHVtbjIzOCwyMzd9JnF1b3Q7LCZxdW90O1NlY3Rpb24xL21hcHBpbmdfYnVkZ2V0LVRCT193ZWlnaHRlZCAoMikvVHlwZSBnZXdpanppZ2Que0NvbHVtbjIzOSwyMzh9JnF1b3Q7LCZxdW90O1NlY3Rpb24xL21hcHBpbmdfYnVkZ2V0LVRCT193ZWlnaHRlZCAoMikvVHlwZSBnZXdpanppZ2Que0NvbHVtbjI0MCwyMzl9JnF1b3Q7LCZxdW90O1NlY3Rpb24xL21hcHBpbmdfYnVkZ2V0LVRCT193ZWlnaHRlZCAoMikvVHlwZSBnZXdpanppZ2Que0NvbHVtbjI0MSwyNDB9JnF1b3Q7LCZxdW90O1NlY3Rpb24xL21hcHBpbmdfYnVkZ2V0LVRCT193ZWlnaHRlZCAoMikvVHlwZSBnZXdpanppZ2Que0NvbHVtbjI0MiwyNDF9JnF1b3Q7LCZxdW90O1NlY3Rpb24xL21hcHBpbmdfYnVkZ2V0LVRCT193ZWlnaHRlZCAoMikvVHlwZSBnZXdpanppZ2Que0NvbHVtbjI0MywyNDJ9JnF1b3Q7LCZxdW90O1NlY3Rpb24xL21hcHBpbmdfYnVkZ2V0LVRCT193ZWlnaHRlZCAoMikvVHlwZSBnZXdpanppZ2Que0NvbHVtbjI0NCwyNDN9JnF1b3Q7LCZxdW90O1NlY3Rpb24xL21hcHBpbmdfYnVkZ2V0LVRCT193ZWlnaHRlZCAoMikvVHlwZSBnZXdpanppZ2Que0NvbHVtbjI0NSwyNDR9JnF1b3Q7LCZxdW90O1NlY3Rpb24xL21hcHBpbmdfYnVkZ2V0LVRCT193ZWlnaHRlZCAoMikvVHlwZSBnZXdpanppZ2Que0NvbHVtbjI0NiwyNDV9JnF1b3Q7LCZxdW90O1NlY3Rpb24xL21hcHBpbmdfYnVkZ2V0LVRCT193ZWlnaHRlZCAoMikvVHlwZSBnZXdpanppZ2Que0NvbHVtbjI0NywyNDZ9JnF1b3Q7LCZxdW90O1NlY3Rpb24xL21hcHBpbmdfYnVkZ2V0LVRCT193ZWlnaHRlZCAoMikvVHlwZSBnZXdpanppZ2Que0NvbHVtbjI0OCwyNDd9JnF1b3Q7LCZxdW90O1NlY3Rpb24xL21hcHBpbmdfYnVkZ2V0LVRCT193ZWlnaHRlZCAoMikvVHlwZSBnZXdpanppZ2Que0NvbHVtbjI0OSwyNDh9JnF1b3Q7LCZxdW90O1NlY3Rpb24xL21hcHBpbmdfYnVkZ2V0LVRCT193ZWlnaHRlZCAoMikvVHlwZSBnZXdpanppZ2Que0NvbHVtbjI1MCwyNDl9JnF1b3Q7LCZxdW90O1NlY3Rpb24xL21hcHBpbmdfYnVkZ2V0LVRCT193ZWlnaHRlZCAoMikvVHlwZSBnZXdpanppZ2Que0NvbHVtbjI1MSwyNTB9JnF1b3Q7LCZxdW90O1NlY3Rpb24xL21hcHBpbmdfYnVkZ2V0LVRCT193ZWlnaHRlZCAoMikvVHlwZSBnZXdpanppZ2Que0NvbHVtbjI1MiwyNTF9JnF1b3Q7LCZxdW90O1NlY3Rpb24xL21hcHBpbmdfYnVkZ2V0LVRCT193ZWlnaHRlZCAoMikvVHlwZSBnZXdpanppZ2Que0NvbHVtbjI1MywyNTJ9JnF1b3Q7LCZxdW90O1NlY3Rpb24xL21hcHBpbmdfYnVkZ2V0LVRCT193ZWlnaHRlZCAoMikvVHlwZSBnZXdpanppZ2Que0NvbHVtbjI1NCwyNTN9JnF1b3Q7LCZxdW90O1NlY3Rpb24xL21hcHBpbmdfYnVkZ2V0LVRCT193ZWlnaHRlZCAoMikvVHlwZSBnZXdpanppZ2Que0NvbHVtbjI1NSwyNTR9JnF1b3Q7LCZxdW90O1NlY3Rpb24xL21hcHBpbmdfYnVkZ2V0LVRCT193ZWlnaHRlZCAoMikvVHlwZSBnZXdpanppZ2Que0NvbHVtbjI1NiwyNTV9JnF1b3Q7LCZxdW90O1NlY3Rpb24xL21hcHBpbmdfYnVkZ2V0LVRCT193ZWlnaHRlZCAoMikvVHlwZSBnZXdpanppZ2Que0NvbHVtbjI1NywyNTZ9JnF1b3Q7LCZxdW90O1NlY3Rpb24xL21hcHBpbmdfYnVkZ2V0LVRCT193ZWlnaHRlZCAoMikvVHlwZSBnZXdpanppZ2Que0NvbHVtbjI1OCwyNTd9JnF1b3Q7LCZxdW90O1NlY3Rpb24xL21hcHBpbmdfYnVkZ2V0LVRCT193ZWlnaHRlZCAoMikvVHlwZSBnZXdpanppZ2Que0NvbHVtbjI1OSwyNTh9JnF1b3Q7LCZxdW90O1NlY3Rpb24xL21hcHBpbmdfYnVkZ2V0LVRCT193ZWlnaHRlZCAoMikvVHlwZSBnZXdpanppZ2Que0NvbHVtbjI2MCwyNTl9JnF1b3Q7LCZxdW90O1NlY3Rpb24xL21hcHBpbmdfYnVkZ2V0LVRCT193ZWlnaHRlZCAoMikvVHlwZSBnZXdpanppZ2Que0NvbHVtbjI2MSwyNjB9JnF1b3Q7LCZxdW90O1NlY3Rpb24xL21hcHBpbmdfYnVkZ2V0LVRCT193ZWlnaHRlZCAoMikvVHlwZSBnZXdpanppZ2Que0NvbHVtbjI2MiwyNjF9JnF1b3Q7LCZxdW90O1NlY3Rpb24xL21hcHBpbmdfYnVkZ2V0LVRCT193ZWlnaHRlZCAoMikvVHlwZSBnZXdpanppZ2Que0NvbHVtbjI2MywyNjJ9JnF1b3Q7LCZxdW90O1NlY3Rpb24xL21hcHBpbmdfYnVkZ2V0LVRCT193ZWlnaHRlZCAoMikvVHlwZSBnZXdpanppZ2Que0NvbHVtbjI2NCwyNjN9JnF1b3Q7LCZxdW90O1NlY3Rpb24xL21hcHBpbmdfYnVkZ2V0LVRCT193ZWlnaHRlZCAoMikvVHlwZSBnZXdpanppZ2Que0NvbHVtbjI2NSwyNjR9JnF1b3Q7LCZxdW90O1NlY3Rpb24xL21hcHBpbmdfYnVkZ2V0LVRCT193ZWlnaHRlZCAoMikvVHlwZSBnZXdpanppZ2Que0NvbHVtbjI2NiwyNjV9JnF1b3Q7LCZxdW90O1NlY3Rpb24xL21hcHBpbmdfYnVkZ2V0LVRCT193ZWlnaHRlZCAoMikvVHlwZSBnZXdpanppZ2Que0NvbHVtbjI2NywyNjZ9JnF1b3Q7LCZxdW90O1NlY3Rpb24xL21hcHBpbmdfYnVkZ2V0LVRCT193ZWlnaHRlZCAoMikvVHlwZSBnZXdpanppZ2Que0NvbHVtbjI2OCwyNjd9JnF1b3Q7LCZxdW90O1NlY3Rpb24xL21hcHBpbmdfYnVkZ2V0LVRCT193ZWlnaHRlZCAoMikvVHlwZSBnZXdpanppZ2Que0NvbHVtbjI2OSwyNjh9JnF1b3Q7LCZxdW90O1NlY3Rpb24xL21hcHBpbmdfYnVkZ2V0LVRCT193ZWlnaHRlZCAoMikvVHlwZSBnZXdpanppZ2Que0NvbHVtbjI3MCwyNjl9JnF1b3Q7LCZxdW90O1NlY3Rpb24xL21hcHBpbmdfYnVkZ2V0LVRCT193ZWlnaHRlZCAoMikvVHlwZSBnZXdpanppZ2Que0NvbHVtbjI3MSwyNzB9JnF1b3Q7LCZxdW90O1NlY3Rpb24xL21hcHBpbmdfYnVkZ2V0LVRCT193ZWlnaHRlZCAoMikvVHlwZSBnZXdpanppZ2Que0NvbHVtbjI3MiwyNzF9JnF1b3Q7LCZxdW90O1NlY3Rpb24xL21hcHBpbmdfYnVkZ2V0LVRCT193ZWlnaHRlZCAoMikvVHlwZSBnZXdpanppZ2Que0NvbHVtbjI3MywyNzJ9JnF1b3Q7LCZxdW90O1NlY3Rpb24xL21hcHBpbmdfYnVkZ2V0LVRCT193ZWlnaHRlZCAoMikvVHlwZSBnZXdpanppZ2Que0NvbHVtbjI3NCwyNzN9JnF1b3Q7LCZxdW90O1NlY3Rpb24xL21hcHBpbmdfYnVkZ2V0LVRCT193ZWlnaHRlZCAoMikvVHlwZSBnZXdpanppZ2Que0NvbHVtbjI3NSwyNzR9JnF1b3Q7LCZxdW90O1NlY3Rpb24xL21hcHBpbmdfYnVkZ2V0LVRCT193ZWlnaHRlZCAoMikvVHlwZSBnZXdpanppZ2Que0NvbHVtbjI3NiwyNzV9JnF1b3Q7LCZxdW90O1NlY3Rpb24xL21hcHBpbmdfYnVkZ2V0LVRCT193ZWlnaHRlZCAoMikvVHlwZSBnZXdpanppZ2Que0NvbHVtbjI3NywyNzZ9JnF1b3Q7LCZxdW90O1NlY3Rpb24xL21hcHBpbmdfYnVkZ2V0LVRCT193ZWlnaHRlZCAoMikvVHlwZSBnZXdpanppZ2Que0NvbHVtbjI3OCwyNzd9JnF1b3Q7LCZxdW90O1NlY3Rpb24xL21hcHBpbmdfYnVkZ2V0LVRCT193ZWlnaHRlZCAoMikvVHlwZSBnZXdpanppZ2Que0NvbHVtbjI3OSwyNzh9JnF1b3Q7LCZxdW90O1NlY3Rpb24xL21hcHBpbmdfYnVkZ2V0LVRCT193ZWlnaHRlZCAoMikvVHlwZSBnZXdpanppZ2Que0NvbHVtbjI4MCwyNzl9JnF1b3Q7LCZxdW90O1NlY3Rpb24xL21hcHBpbmdfYnVkZ2V0LVRCT193ZWlnaHRlZCAoMikvVHlwZSBnZXdpanppZ2Que0NvbHVtbjI4MSwyODB9JnF1b3Q7LCZxdW90O1NlY3Rpb24xL21hcHBpbmdfYnVkZ2V0LVRCT193ZWlnaHRlZCAoMikvVHlwZSBnZXdpanppZ2Que0NvbHVtbjI4MiwyODF9JnF1b3Q7LCZxdW90O1NlY3Rpb24xL21hcHBpbmdfYnVkZ2V0LVRCT193ZWlnaHRlZCAoMikvVHlwZSBnZXdpanppZ2Que0NvbHVtbjI4MywyODJ9JnF1b3Q7LCZxdW90O1NlY3Rpb24xL21hcHBpbmdfYnVkZ2V0LVRCT193ZWlnaHRlZCAoMikvVHlwZSBnZXdpanppZ2Que0NvbHVtbjI4NCwyODN9JnF1b3Q7LCZxdW90O1NlY3Rpb24xL21hcHBpbmdfYnVkZ2V0LVRCT193ZWlnaHRlZCAoMikvVHlwZSBnZXdpanppZ2Que0NvbHVtbjI4NSwyODR9JnF1b3Q7LCZxdW90O1NlY3Rpb24xL21hcHBpbmdfYnVkZ2V0LVRCT193ZWlnaHRlZCAoMikvVHlwZSBnZXdpanppZ2Que0NvbHVtbjI4NiwyODV9JnF1b3Q7LCZxdW90O1NlY3Rpb24xL21hcHBpbmdfYnVkZ2V0LVRCT193ZWlnaHRlZCAoMikvVHlwZSBnZXdpanppZ2Que0NvbHVtbjI4NywyODZ9JnF1b3Q7LCZxdW90O1NlY3Rpb24xL21hcHBpbmdfYnVkZ2V0LVRCT193ZWlnaHRlZCAoMikvVHlwZSBnZXdpanppZ2Que0NvbHVtbjI4OCwyODd9JnF1b3Q7LCZxdW90O1NlY3Rpb24xL21hcHBpbmdfYnVkZ2V0LVRCT193ZWlnaHRlZCAoMikvVHlwZSBnZXdpanppZ2Que0NvbHVtbjI4OSwyODh9JnF1b3Q7LCZxdW90O1NlY3Rpb24xL21hcHBpbmdfYnVkZ2V0LVRCT193ZWlnaHRlZCAoMikvVHlwZSBnZXdpanppZ2Que0NvbHVtbjI5MCwyODl9JnF1b3Q7LCZxdW90O1NlY3Rpb24xL21hcHBpbmdfYnVkZ2V0LVRCT193ZWlnaHRlZCAoMikvVHlwZSBnZXdpanppZ2Que0NvbHVtbjI5MSwyOTB9JnF1b3Q7LCZxdW90O1NlY3Rpb24xL21hcHBpbmdfYnVkZ2V0LVRCT193ZWlnaHRlZCAoMikvVHlwZSBnZXdpanppZ2Que0NvbHVtbjI5MiwyOTF9JnF1b3Q7LCZxdW90O1NlY3Rpb24xL21hcHBpbmdfYnVkZ2V0LVRCT193ZWlnaHRlZCAoMikvVHlwZSBnZXdpanppZ2Que0NvbHVtbjI5MywyOTJ9JnF1b3Q7LCZxdW90O1NlY3Rpb24xL21hcHBpbmdfYnVkZ2V0LVRCT193ZWlnaHRlZCAoMikvVHlwZSBnZXdpanppZ2Que0NvbHVtbjI5NCwyOTN9JnF1b3Q7LCZxdW90O1NlY3Rpb24xL21hcHBpbmdfYnVkZ2V0LVRCT193ZWlnaHRlZCAoMikvVHlwZSBnZXdpanppZ2Que0NvbHVtbjI5NSwyOTR9JnF1b3Q7LCZxdW90O1NlY3Rpb24xL21hcHBpbmdfYnVkZ2V0LVRCT193ZWlnaHRlZCAoMikvVHlwZSBnZXdpanppZ2Que0NvbHVtbjI5NiwyOTV9JnF1b3Q7LCZxdW90O1NlY3Rpb24xL21hcHBpbmdfYnVkZ2V0LVRCT193ZWlnaHRlZCAoMikvVHlwZSBnZXdpanppZ2Que0NvbHVtbjI5NywyOTZ9JnF1b3Q7LCZxdW90O1NlY3Rpb24xL21hcHBpbmdfYnVkZ2V0LVRCT193ZWlnaHRlZCAoMikvVHlwZSBnZXdpanppZ2Que0NvbHVtbjI5OCwyOTd9JnF1b3Q7LCZxdW90O1NlY3Rpb24xL21hcHBpbmdfYnVkZ2V0LVRCT193ZWlnaHRlZCAoMikvVHlwZSBnZXdpanppZ2Que0NvbHVtbjI5OSwyOTh9JnF1b3Q7LCZxdW90O1NlY3Rpb24xL21hcHBpbmdfYnVkZ2V0LVRCT193ZWlnaHRlZCAoMikvVHlwZSBnZXdpanppZ2Que0NvbHVtbjMwMCwyOTl9JnF1b3Q7LCZxdW90O1NlY3Rpb24xL21hcHBpbmdfYnVkZ2V0LVRCT193ZWlnaHRlZCAoMikvVHlwZSBnZXdpanppZ2Que0NvbHVtbjMwMSwzMDB9JnF1b3Q7LCZxdW90O1NlY3Rpb24xL21hcHBpbmdfYnVkZ2V0LVRCT193ZWlnaHRlZCAoMikvVHlwZSBnZXdpanppZ2Que0NvbHVtbjMwMiwzMDF9JnF1b3Q7LCZxdW90O1NlY3Rpb24xL21hcHBpbmdfYnVkZ2V0LVRCT193ZWlnaHRlZCAoMikvVHlwZSBnZXdpanppZ2Que0NvbHVtbjMwMywzMDJ9JnF1b3Q7LCZxdW90O1NlY3Rpb24xL21hcHBpbmdfYnVkZ2V0LVRCT193ZWlnaHRlZCAoMikvVHlwZSBnZXdpanppZ2Que0NvbHVtbjMwNCwzMDN9JnF1b3Q7LCZxdW90O1NlY3Rpb24xL21hcHBpbmdfYnVkZ2V0LVRCT193ZWlnaHRlZCAoMikvVHlwZSBnZXdpanppZ2Que0NvbHVtbjMwNSwzMDR9JnF1b3Q7LCZxdW90O1NlY3Rpb24xL21hcHBpbmdfYnVkZ2V0LVRCT193ZWlnaHRlZCAoMikvVHlwZSBnZXdpanppZ2Que0NvbHVtbjMwNiwzMDV9JnF1b3Q7LCZxdW90O1NlY3Rpb24xL21hcHBpbmdfYnVkZ2V0LVRCT193ZWlnaHRlZCAoMikvVHlwZSBnZXdpanppZ2Que0NvbHVtbjMwNywzMDZ9JnF1b3Q7LCZxdW90O1NlY3Rpb24xL21hcHBpbmdfYnVkZ2V0LVRCT193ZWlnaHRlZCAoMikvVHlwZSBnZXdpanppZ2Que0NvbHVtbjMwOCwzMDd9JnF1b3Q7LCZxdW90O1NlY3Rpb24xL21hcHBpbmdfYnVkZ2V0LVRCT193ZWlnaHRlZCAoMikvVHlwZSBnZXdpanppZ2Que0NvbHVtbjMwOSwzMDh9JnF1b3Q7LCZxdW90O1NlY3Rpb24xL21hcHBpbmdfYnVkZ2V0LVRCT193ZWlnaHRlZCAoMikvVHlwZSBnZXdpanppZ2Que0NvbHVtbjMxMCwzMDl9JnF1b3Q7LCZxdW90O1NlY3Rpb24xL21hcHBpbmdfYnVkZ2V0LVRCT193ZWlnaHRlZCAoMikvVHlwZSBnZXdpanppZ2Que0NvbHVtbjMxMSwzMTB9JnF1b3Q7LCZxdW90O1NlY3Rpb24xL21hcHBpbmdfYnVkZ2V0LVRCT193ZWlnaHRlZCAoMikvVHlwZSBnZXdpanppZ2Que0NvbHVtbjMxMiwzMTF9JnF1b3Q7LCZxdW90O1NlY3Rpb24xL21hcHBpbmdfYnVkZ2V0LVRCT193ZWlnaHRlZCAoMikvVHlwZSBnZXdpanppZ2Que0NvbHVtbjMxMywzMTJ9JnF1b3Q7LCZxdW90O1NlY3Rpb24xL21hcHBpbmdfYnVkZ2V0LVRCT193ZWlnaHRlZCAoMikvVHlwZSBnZXdpanppZ2Que0NvbHVtbjMxNCwzMTN9JnF1b3Q7LCZxdW90O1NlY3Rpb24xL21hcHBpbmdfYnVkZ2V0LVRCT193ZWlnaHRlZCAoMikvVHlwZSBnZXdpanppZ2Que0NvbHVtbjMxNSwzMTR9JnF1b3Q7LCZxdW90O1NlY3Rpb24xL21hcHBpbmdfYnVkZ2V0LVRCT193ZWlnaHRlZCAoMikvVHlwZSBnZXdpanppZ2Que0NvbHVtbjMxNiwzMTV9JnF1b3Q7LCZxdW90O1NlY3Rpb24xL21hcHBpbmdfYnVkZ2V0LVRCT193ZWlnaHRlZCAoMikvVHlwZSBnZXdpanppZ2Que0NvbHVtbjMxNywzMTZ9JnF1b3Q7XSwmcXVvdDtDb2x1bW5Db3VudCZxdW90OzozMTcsJnF1b3Q7S2V5Q29sdW1uTmFtZXMmcXVvdDs6W10sJnF1b3Q7Q29sdW1uSWRlbnRpdGllcyZxdW90OzpbJnF1b3Q7U2VjdGlvbjEvbWFwcGluZ19idWRnZXQtVEJPX3dlaWdodGVkICgyKS9UeXBlIGdld2lqemlnZC57Q29sdW1uMSwwfSZxdW90OywmcXVvdDtTZWN0aW9uMS9tYXBwaW5nX2J1ZGdldC1UQk9fd2VpZ2h0ZWQgKDIpL1R5cGUgZ2V3aWp6aWdkLntDb2x1bW4yLDF9JnF1b3Q7LCZxdW90O1NlY3Rpb24xL21hcHBpbmdfYnVkZ2V0LVRCT193ZWlnaHRlZCAoMikvVHlwZSBnZXdpanppZ2Que0NvbHVtbjMsMn0mcXVvdDssJnF1b3Q7U2VjdGlvbjEvbWFwcGluZ19idWRnZXQtVEJPX3dlaWdodGVkICgyKS9UeXBlIGdld2lqemlnZC57Q29sdW1uNCwzfSZxdW90OywmcXVvdDtTZWN0aW9uMS9tYXBwaW5nX2J1ZGdldC1UQk9fd2VpZ2h0ZWQgKDIpL1R5cGUgZ2V3aWp6aWdkLntDb2x1bW41LDR9JnF1b3Q7LCZxdW90O1NlY3Rpb24xL21hcHBpbmdfYnVkZ2V0LVRCT193ZWlnaHRlZCAoMikvVHlwZSBnZXdpanppZ2Que0NvbHVtbjYsNX0mcXVvdDssJnF1b3Q7U2VjdGlvbjEvbWFwcGluZ19idWRnZXQtVEJPX3dlaWdodGVkICgyKS9UeXBlIGdld2lqemlnZC57Q29sdW1uNyw2fSZxdW90OywmcXVvdDtTZWN0aW9uMS9tYXBwaW5nX2J1ZGdldC1UQk9fd2VpZ2h0ZWQgKDIpL1R5cGUgZ2V3aWp6aWdkLntDb2x1bW44LDd9JnF1b3Q7LCZxdW90O1NlY3Rpb24xL21hcHBpbmdfYnVkZ2V0LVRCT193ZWlnaHRlZCAoMikvVHlwZSBnZXdpanppZ2Que0NvbHVtbjksOH0mcXVvdDssJnF1b3Q7U2VjdGlvbjEvbWFwcGluZ19idWRnZXQtVEJPX3dlaWdodGVkICgyKS9UeXBlIGdld2lqemlnZC57Q29sdW1uMTAsOX0mcXVvdDssJnF1b3Q7U2VjdGlvbjEvbWFwcGluZ19idWRnZXQtVEJPX3dlaWdodGVkICgyKS9UeXBlIGdld2lqemlnZC57Q29sdW1uMTEsMTB9JnF1b3Q7LCZxdW90O1NlY3Rpb24xL21hcHBpbmdfYnVkZ2V0LVRCT193ZWlnaHRlZCAoMikvVHlwZSBnZXdpanppZ2Que0NvbHVtbjEyLDExfSZxdW90OywmcXVvdDtTZWN0aW9uMS9tYXBwaW5nX2J1ZGdldC1UQk9fd2VpZ2h0ZWQgKDIpL1R5cGUgZ2V3aWp6aWdkLntDb2x1bW4xMywxMn0mcXVvdDssJnF1b3Q7U2VjdGlvbjEvbWFwcGluZ19idWRnZXQtVEJPX3dlaWdodGVkICgyKS9UeXBlIGdld2lqemlnZC57Q29sdW1uMTQsMTN9JnF1b3Q7LCZxdW90O1NlY3Rpb24xL21hcHBpbmdfYnVkZ2V0LVRCT193ZWlnaHRlZCAoMikvVHlwZSBnZXdpanppZ2Que0NvbHVtbjE1LDE0fSZxdW90OywmcXVvdDtTZWN0aW9uMS9tYXBwaW5nX2J1ZGdldC1UQk9fd2VpZ2h0ZWQgKDIpL1R5cGUgZ2V3aWp6aWdkLntDb2x1bW4xNiwxNX0mcXVvdDssJnF1b3Q7U2VjdGlvbjEvbWFwcGluZ19idWRnZXQtVEJPX3dlaWdodGVkICgyKS9UeXBlIGdld2lqemlnZC57Q29sdW1uMTcsMTZ9JnF1b3Q7LCZxdW90O1NlY3Rpb24xL21hcHBpbmdfYnVkZ2V0LVRCT193ZWlnaHRlZCAoMikvVHlwZSBnZXdpanppZ2Que0NvbHVtbjE4LDE3fSZxdW90OywmcXVvdDtTZWN0aW9uMS9tYXBwaW5nX2J1ZGdldC1UQk9fd2VpZ2h0ZWQgKDIpL1R5cGUgZ2V3aWp6aWdkLntDb2x1bW4xOSwxOH0mcXVvdDssJnF1b3Q7U2VjdGlvbjEvbWFwcGluZ19idWRnZXQtVEJPX3dlaWdodGVkICgyKS9UeXBlIGdld2lqemlnZC57Q29sdW1uMjAsMTl9JnF1b3Q7LCZxdW90O1NlY3Rpb24xL21hcHBpbmdfYnVkZ2V0LVRCT193ZWlnaHRlZCAoMikvVHlwZSBnZXdpanppZ2Que0NvbHVtbjIxLDIwfSZxdW90OywmcXVvdDtTZWN0aW9uMS9tYXBwaW5nX2J1ZGdldC1UQk9fd2VpZ2h0ZWQgKDIpL1R5cGUgZ2V3aWp6aWdkLntDb2x1bW4yMiwyMX0mcXVvdDssJnF1b3Q7U2VjdGlvbjEvbWFwcGluZ19idWRnZXQtVEJPX3dlaWdodGVkICgyKS9UeXBlIGdld2lqemlnZC57Q29sdW1uMjMsMjJ9JnF1b3Q7LCZxdW90O1NlY3Rpb24xL21hcHBpbmdfYnVkZ2V0LVRCT193ZWlnaHRlZCAoMikvVHlwZSBnZXdpanppZ2Que0NvbHVtbjI0LDIzfSZxdW90OywmcXVvdDtTZWN0aW9uMS9tYXBwaW5nX2J1ZGdldC1UQk9fd2VpZ2h0ZWQgKDIpL1R5cGUgZ2V3aWp6aWdkLntDb2x1bW4yNSwyNH0mcXVvdDssJnF1b3Q7U2VjdGlvbjEvbWFwcGluZ19idWRnZXQtVEJPX3dlaWdodGVkICgyKS9UeXBlIGdld2lqemlnZC57Q29sdW1uMjYsMjV9JnF1b3Q7LCZxdW90O1NlY3Rpb24xL21hcHBpbmdfYnVkZ2V0LVRCT193ZWlnaHRlZCAoMikvVHlwZSBnZXdpanppZ2Que0NvbHVtbjI3LDI2fSZxdW90OywmcXVvdDtTZWN0aW9uMS9tYXBwaW5nX2J1ZGdldC1UQk9fd2VpZ2h0ZWQgKDIpL1R5cGUgZ2V3aWp6aWdkLntDb2x1bW4yOCwyN30mcXVvdDssJnF1b3Q7U2VjdGlvbjEvbWFwcGluZ19idWRnZXQtVEJPX3dlaWdodGVkICgyKS9UeXBlIGdld2lqemlnZC57Q29sdW1uMjksMjh9JnF1b3Q7LCZxdW90O1NlY3Rpb24xL21hcHBpbmdfYnVkZ2V0LVRCT193ZWlnaHRlZCAoMikvVHlwZSBnZXdpanppZ2Que0NvbHVtbjMwLDI5fSZxdW90OywmcXVvdDtTZWN0aW9uMS9tYXBwaW5nX2J1ZGdldC1UQk9fd2VpZ2h0ZWQgKDIpL1R5cGUgZ2V3aWp6aWdkLntDb2x1bW4zMSwzMH0mcXVvdDssJnF1b3Q7U2VjdGlvbjEvbWFwcGluZ19idWRnZXQtVEJPX3dlaWdodGVkICgyKS9UeXBlIGdld2lqemlnZC57Q29sdW1uMzIsMzF9JnF1b3Q7LCZxdW90O1NlY3Rpb24xL21hcHBpbmdfYnVkZ2V0LVRCT193ZWlnaHRlZCAoMikvVHlwZSBnZXdpanppZ2Que0NvbHVtbjMzLDMyfSZxdW90OywmcXVvdDtTZWN0aW9uMS9tYXBwaW5nX2J1ZGdldC1UQk9fd2VpZ2h0ZWQgKDIpL1R5cGUgZ2V3aWp6aWdkLntDb2x1bW4zNCwzM30mcXVvdDssJnF1b3Q7U2VjdGlvbjEvbWFwcGluZ19idWRnZXQtVEJPX3dlaWdodGVkICgyKS9UeXBlIGdld2lqemlnZC57Q29sdW1uMzUsMzR9JnF1b3Q7LCZxdW90O1NlY3Rpb24xL21hcHBpbmdfYnVkZ2V0LVRCT193ZWlnaHRlZCAoMikvVHlwZSBnZXdpanppZ2Que0NvbHVtbjM2LDM1fSZxdW90OywmcXVvdDtTZWN0aW9uMS9tYXBwaW5nX2J1ZGdldC1UQk9fd2VpZ2h0ZWQgKDIpL1R5cGUgZ2V3aWp6aWdkLntDb2x1bW4zNywzNn0mcXVvdDssJnF1b3Q7U2VjdGlvbjEvbWFwcGluZ19idWRnZXQtVEJPX3dlaWdodGVkICgyKS9UeXBlIGdld2lqemlnZC57Q29sdW1uMzgsMzd9JnF1b3Q7LCZxdW90O1NlY3Rpb24xL21hcHBpbmdfYnVkZ2V0LVRCT193ZWlnaHRlZCAoMikvVHlwZSBnZXdpanppZ2Que0NvbHVtbjM5LDM4fSZxdW90OywmcXVvdDtTZWN0aW9uMS9tYXBwaW5nX2J1ZGdldC1UQk9fd2VpZ2h0ZWQgKDIpL1R5cGUgZ2V3aWp6aWdkLntDb2x1bW40MCwzOX0mcXVvdDssJnF1b3Q7U2VjdGlvbjEvbWFwcGluZ19idWRnZXQtVEJPX3dlaWdodGVkICgyKS9UeXBlIGdld2lqemlnZC57Q29sdW1uNDEsNDB9JnF1b3Q7LCZxdW90O1NlY3Rpb24xL21hcHBpbmdfYnVkZ2V0LVRCT193ZWlnaHRlZCAoMikvVHlwZSBnZXdpanppZ2Que0NvbHVtbjQyLDQxfSZxdW90OywmcXVvdDtTZWN0aW9uMS9tYXBwaW5nX2J1ZGdldC1UQk9fd2VpZ2h0ZWQgKDIpL1R5cGUgZ2V3aWp6aWdkLntDb2x1bW40Myw0Mn0mcXVvdDssJnF1b3Q7U2VjdGlvbjEvbWFwcGluZ19idWRnZXQtVEJPX3dlaWdodGVkICgyKS9UeXBlIGdld2lqemlnZC57Q29sdW1uNDQsNDN9JnF1b3Q7LCZxdW90O1NlY3Rpb24xL21hcHBpbmdfYnVkZ2V0LVRCT193ZWlnaHRlZCAoMikvVHlwZSBnZXdpanppZ2Que0NvbHVtbjQ1LDQ0fSZxdW90OywmcXVvdDtTZWN0aW9uMS9tYXBwaW5nX2J1ZGdldC1UQk9fd2VpZ2h0ZWQgKDIpL1R5cGUgZ2V3aWp6aWdkLntDb2x1bW40Niw0NX0mcXVvdDssJnF1b3Q7U2VjdGlvbjEvbWFwcGluZ19idWRnZXQtVEJPX3dlaWdodGVkICgyKS9UeXBlIGdld2lqemlnZC57Q29sdW1uNDcsNDZ9JnF1b3Q7LCZxdW90O1NlY3Rpb24xL21hcHBpbmdfYnVkZ2V0LVRCT193ZWlnaHRlZCAoMikvVHlwZSBnZXdpanppZ2Que0NvbHVtbjQ4LDQ3fSZxdW90OywmcXVvdDtTZWN0aW9uMS9tYXBwaW5nX2J1ZGdldC1UQk9fd2VpZ2h0ZWQgKDIpL1R5cGUgZ2V3aWp6aWdkLntDb2x1bW40OSw0OH0mcXVvdDssJnF1b3Q7U2VjdGlvbjEvbWFwcGluZ19idWRnZXQtVEJPX3dlaWdodGVkICgyKS9UeXBlIGdld2lqemlnZC57Q29sdW1uNTAsNDl9JnF1b3Q7LCZxdW90O1NlY3Rpb24xL21hcHBpbmdfYnVkZ2V0LVRCT193ZWlnaHRlZCAoMikvVHlwZSBnZXdpanppZ2Que0NvbHVtbjUxLDUwfSZxdW90OywmcXVvdDtTZWN0aW9uMS9tYXBwaW5nX2J1ZGdldC1UQk9fd2VpZ2h0ZWQgKDIpL1R5cGUgZ2V3aWp6aWdkLntDb2x1bW41Miw1MX0mcXVvdDssJnF1b3Q7U2VjdGlvbjEvbWFwcGluZ19idWRnZXQtVEJPX3dlaWdodGVkICgyKS9UeXBlIGdld2lqemlnZC57Q29sdW1uNTMsNTJ9JnF1b3Q7LCZxdW90O1NlY3Rpb24xL21hcHBpbmdfYnVkZ2V0LVRCT193ZWlnaHRlZCAoMikvVHlwZSBnZXdpanppZ2Que0NvbHVtbjU0LDUzfSZxdW90OywmcXVvdDtTZWN0aW9uMS9tYXBwaW5nX2J1ZGdldC1UQk9fd2VpZ2h0ZWQgKDIpL1R5cGUgZ2V3aWp6aWdkLntDb2x1bW41NSw1NH0mcXVvdDssJnF1b3Q7U2VjdGlvbjEvbWFwcGluZ19idWRnZXQtVEJPX3dlaWdodGVkICgyKS9UeXBlIGdld2lqemlnZC57Q29sdW1uNTYsNTV9JnF1b3Q7LCZxdW90O1NlY3Rpb24xL21hcHBpbmdfYnVkZ2V0LVRCT193ZWlnaHRlZCAoMikvVHlwZSBnZXdpanppZ2Que0NvbHVtbjU3LDU2fSZxdW90OywmcXVvdDtTZWN0aW9uMS9tYXBwaW5nX2J1ZGdldC1UQk9fd2VpZ2h0ZWQgKDIpL1R5cGUgZ2V3aWp6aWdkLntDb2x1bW41OCw1N30mcXVvdDssJnF1b3Q7U2VjdGlvbjEvbWFwcGluZ19idWRnZXQtVEJPX3dlaWdodGVkICgyKS9UeXBlIGdld2lqemlnZC57Q29sdW1uNTksNTh9JnF1b3Q7LCZxdW90O1NlY3Rpb24xL21hcHBpbmdfYnVkZ2V0LVRCT193ZWlnaHRlZCAoMikvVHlwZSBnZXdpanppZ2Que0NvbHVtbjYwLDU5fSZxdW90OywmcXVvdDtTZWN0aW9uMS9tYXBwaW5nX2J1ZGdldC1UQk9fd2VpZ2h0ZWQgKDIpL1R5cGUgZ2V3aWp6aWdkLntDb2x1bW42MSw2MH0mcXVvdDssJnF1b3Q7U2VjdGlvbjEvbWFwcGluZ19idWRnZXQtVEJPX3dlaWdodGVkICgyKS9UeXBlIGdld2lqemlnZC57Q29sdW1uNjIsNjF9JnF1b3Q7LCZxdW90O1NlY3Rpb24xL21hcHBpbmdfYnVkZ2V0LVRCT193ZWlnaHRlZCAoMikvVHlwZSBnZXdpanppZ2Que0NvbHVtbjYzLDYyfSZxdW90OywmcXVvdDtTZWN0aW9uMS9tYXBwaW5nX2J1ZGdldC1UQk9fd2VpZ2h0ZWQgKDIpL1R5cGUgZ2V3aWp6aWdkLntDb2x1bW42NCw2M30mcXVvdDssJnF1b3Q7U2VjdGlvbjEvbWFwcGluZ19idWRnZXQtVEJPX3dlaWdodGVkICgyKS9UeXBlIGdld2lqemlnZC57Q29sdW1uNjUsNjR9JnF1b3Q7LCZxdW90O1NlY3Rpb24xL21hcHBpbmdfYnVkZ2V0LVRCT193ZWlnaHRlZCAoMikvVHlwZSBnZXdpanppZ2Que0NvbHVtbjY2LDY1fSZxdW90OywmcXVvdDtTZWN0aW9uMS9tYXBwaW5nX2J1ZGdldC1UQk9fd2VpZ2h0ZWQgKDIpL1R5cGUgZ2V3aWp6aWdkLntDb2x1bW42Nyw2Nn0mcXVvdDssJnF1b3Q7U2VjdGlvbjEvbWFwcGluZ19idWRnZXQtVEJPX3dlaWdodGVkICgyKS9UeXBlIGdld2lqemlnZC57Q29sdW1uNjgsNjd9JnF1b3Q7LCZxdW90O1NlY3Rpb24xL21hcHBpbmdfYnVkZ2V0LVRCT193ZWlnaHRlZCAoMikvVHlwZSBnZXdpanppZ2Que0NvbHVtbjY5LDY4fSZxdW90OywmcXVvdDtTZWN0aW9uMS9tYXBwaW5nX2J1ZGdldC1UQk9fd2VpZ2h0ZWQgKDIpL1R5cGUgZ2V3aWp6aWdkLntDb2x1bW43MCw2OX0mcXVvdDssJnF1b3Q7U2VjdGlvbjEvbWFwcGluZ19idWRnZXQtVEJPX3dlaWdodGVkICgyKS9UeXBlIGdld2lqemlnZC57Q29sdW1uNzEsNzB9JnF1b3Q7LCZxdW90O1NlY3Rpb24xL21hcHBpbmdfYnVkZ2V0LVRCT193ZWlnaHRlZCAoMikvVHlwZSBnZXdpanppZ2Que0NvbHVtbjcyLDcxfSZxdW90OywmcXVvdDtTZWN0aW9uMS9tYXBwaW5nX2J1ZGdldC1UQk9fd2VpZ2h0ZWQgKDIpL1R5cGUgZ2V3aWp6aWdkLntDb2x1bW43Myw3Mn0mcXVvdDssJnF1b3Q7U2VjdGlvbjEvbWFwcGluZ19idWRnZXQtVEJPX3dlaWdodGVkICgyKS9UeXBlIGdld2lqemlnZC57Q29sdW1uNzQsNzN9JnF1b3Q7LCZxdW90O1NlY3Rpb24xL21hcHBpbmdfYnVkZ2V0LVRCT193ZWlnaHRlZCAoMikvVHlwZSBnZXdpanppZ2Que0NvbHVtbjc1LDc0fSZxdW90OywmcXVvdDtTZWN0aW9uMS9tYXBwaW5nX2J1ZGdldC1UQk9fd2VpZ2h0ZWQgKDIpL1R5cGUgZ2V3aWp6aWdkLntDb2x1bW43Niw3NX0mcXVvdDssJnF1b3Q7U2VjdGlvbjEvbWFwcGluZ19idWRnZXQtVEJPX3dlaWdodGVkICgyKS9UeXBlIGdld2lqemlnZC57Q29sdW1uNzcsNzZ9JnF1b3Q7LCZxdW90O1NlY3Rpb24xL21hcHBpbmdfYnVkZ2V0LVRCT193ZWlnaHRlZCAoMikvVHlwZSBnZXdpanppZ2Que0NvbHVtbjc4LDc3fSZxdW90OywmcXVvdDtTZWN0aW9uMS9tYXBwaW5nX2J1ZGdldC1UQk9fd2VpZ2h0ZWQgKDIpL1R5cGUgZ2V3aWp6aWdkLntDb2x1bW43OSw3OH0mcXVvdDssJnF1b3Q7U2VjdGlvbjEvbWFwcGluZ19idWRnZXQtVEJPX3dlaWdodGVkICgyKS9UeXBlIGdld2lqemlnZC57Q29sdW1uODAsNzl9JnF1b3Q7LCZxdW90O1NlY3Rpb24xL21hcHBpbmdfYnVkZ2V0LVRCT193ZWlnaHRlZCAoMikvVHlwZSBnZXdpanppZ2Que0NvbHVtbjgxLDgwfSZxdW90OywmcXVvdDtTZWN0aW9uMS9tYXBwaW5nX2J1ZGdldC1UQk9fd2VpZ2h0ZWQgKDIpL1R5cGUgZ2V3aWp6aWdkLntDb2x1bW44Miw4MX0mcXVvdDssJnF1b3Q7U2VjdGlvbjEvbWFwcGluZ19idWRnZXQtVEJPX3dlaWdodGVkICgyKS9UeXBlIGdld2lqemlnZC57Q29sdW1uODMsODJ9JnF1b3Q7LCZxdW90O1NlY3Rpb24xL21hcHBpbmdfYnVkZ2V0LVRCT193ZWlnaHRlZCAoMikvVHlwZSBnZXdpanppZ2Que0NvbHVtbjg0LDgzfSZxdW90OywmcXVvdDtTZWN0aW9uMS9tYXBwaW5nX2J1ZGdldC1UQk9fd2VpZ2h0ZWQgKDIpL1R5cGUgZ2V3aWp6aWdkLntDb2x1bW44NSw4NH0mcXVvdDssJnF1b3Q7U2VjdGlvbjEvbWFwcGluZ19idWRnZXQtVEJPX3dlaWdodGVkICgyKS9UeXBlIGdld2lqemlnZC57Q29sdW1uODYsODV9JnF1b3Q7LCZxdW90O1NlY3Rpb24xL21hcHBpbmdfYnVkZ2V0LVRCT193ZWlnaHRlZCAoMikvVHlwZSBnZXdpanppZ2Que0NvbHVtbjg3LDg2fSZxdW90OywmcXVvdDtTZWN0aW9uMS9tYXBwaW5nX2J1ZGdldC1UQk9fd2VpZ2h0ZWQgKDIpL1R5cGUgZ2V3aWp6aWdkLntDb2x1bW44OCw4N30mcXVvdDssJnF1b3Q7U2VjdGlvbjEvbWFwcGluZ19idWRnZXQtVEJPX3dlaWdodGVkICgyKS9UeXBlIGdld2lqemlnZC57Q29sdW1uODksODh9JnF1b3Q7LCZxdW90O1NlY3Rpb24xL21hcHBpbmdfYnVkZ2V0LVRCT193ZWlnaHRlZCAoMikvVHlwZSBnZXdpanppZ2Que0NvbHVtbjkwLDg5fSZxdW90OywmcXVvdDtTZWN0aW9uMS9tYXBwaW5nX2J1ZGdldC1UQk9fd2VpZ2h0ZWQgKDIpL1R5cGUgZ2V3aWp6aWdkLntDb2x1bW45MSw5MH0mcXVvdDssJnF1b3Q7U2VjdGlvbjEvbWFwcGluZ19idWRnZXQtVEJPX3dlaWdodGVkICgyKS9UeXBlIGdld2lqemlnZC57Q29sdW1uOTIsOTF9JnF1b3Q7LCZxdW90O1NlY3Rpb24xL21hcHBpbmdfYnVkZ2V0LVRCT193ZWlnaHRlZCAoMikvVHlwZSBnZXdpanppZ2Que0NvbHVtbjkzLDkyfSZxdW90OywmcXVvdDtTZWN0aW9uMS9tYXBwaW5nX2J1ZGdldC1UQk9fd2VpZ2h0ZWQgKDIpL1R5cGUgZ2V3aWp6aWdkLntDb2x1bW45NCw5M30mcXVvdDssJnF1b3Q7U2VjdGlvbjEvbWFwcGluZ19idWRnZXQtVEJPX3dlaWdodGVkICgyKS9UeXBlIGdld2lqemlnZC57Q29sdW1uOTUsOTR9JnF1b3Q7LCZxdW90O1NlY3Rpb24xL21hcHBpbmdfYnVkZ2V0LVRCT193ZWlnaHRlZCAoMikvVHlwZSBnZXdpanppZ2Que0NvbHVtbjk2LDk1fSZxdW90OywmcXVvdDtTZWN0aW9uMS9tYXBwaW5nX2J1ZGdldC1UQk9fd2VpZ2h0ZWQgKDIpL1R5cGUgZ2V3aWp6aWdkLntDb2x1bW45Nyw5Nn0mcXVvdDssJnF1b3Q7U2VjdGlvbjEvbWFwcGluZ19idWRnZXQtVEJPX3dlaWdodGVkICgyKS9UeXBlIGdld2lqemlnZC57Q29sdW1uOTgsOTd9JnF1b3Q7LCZxdW90O1NlY3Rpb24xL21hcHBpbmdfYnVkZ2V0LVRCT193ZWlnaHRlZCAoMikvVHlwZSBnZXdpanppZ2Que0NvbHVtbjk5LDk4fSZxdW90OywmcXVvdDtTZWN0aW9uMS9tYXBwaW5nX2J1ZGdldC1UQk9fd2VpZ2h0ZWQgKDIpL1R5cGUgZ2V3aWp6aWdkLntDb2x1bW4xMDAsOTl9JnF1b3Q7LCZxdW90O1NlY3Rpb24xL21hcHBpbmdfYnVkZ2V0LVRCT193ZWlnaHRlZCAoMikvVHlwZSBnZXdpanppZ2Que0NvbHVtbjEwMSwxMDB9JnF1b3Q7LCZxdW90O1NlY3Rpb24xL21hcHBpbmdfYnVkZ2V0LVRCT193ZWlnaHRlZCAoMikvVHlwZSBnZXdpanppZ2Que0NvbHVtbjEwMiwxMDF9JnF1b3Q7LCZxdW90O1NlY3Rpb24xL21hcHBpbmdfYnVkZ2V0LVRCT193ZWlnaHRlZCAoMikvVHlwZSBnZXdpanppZ2Que0NvbHVtbjEwMywxMDJ9JnF1b3Q7LCZxdW90O1NlY3Rpb24xL21hcHBpbmdfYnVkZ2V0LVRCT193ZWlnaHRlZCAoMikvVHlwZSBnZXdpanppZ2Que0NvbHVtbjEwNCwxMDN9JnF1b3Q7LCZxdW90O1NlY3Rpb24xL21hcHBpbmdfYnVkZ2V0LVRCT193ZWlnaHRlZCAoMikvVHlwZSBnZXdpanppZ2Que0NvbHVtbjEwNSwxMDR9JnF1b3Q7LCZxdW90O1NlY3Rpb24xL21hcHBpbmdfYnVkZ2V0LVRCT193ZWlnaHRlZCAoMikvVHlwZSBnZXdpanppZ2Que0NvbHVtbjEwNiwxMDV9JnF1b3Q7LCZxdW90O1NlY3Rpb24xL21hcHBpbmdfYnVkZ2V0LVRCT193ZWlnaHRlZCAoMikvVHlwZSBnZXdpanppZ2Que0NvbHVtbjEwNywxMDZ9JnF1b3Q7LCZxdW90O1NlY3Rpb24xL21hcHBpbmdfYnVkZ2V0LVRCT193ZWlnaHRlZCAoMikvVHlwZSBnZXdpanppZ2Que0NvbHVtbjEwOCwxMDd9JnF1b3Q7LCZxdW90O1NlY3Rpb24xL21hcHBpbmdfYnVkZ2V0LVRCT193ZWlnaHRlZCAoMikvVHlwZSBnZXdpanppZ2Que0NvbHVtbjEwOSwxMDh9JnF1b3Q7LCZxdW90O1NlY3Rpb24xL21hcHBpbmdfYnVkZ2V0LVRCT193ZWlnaHRlZCAoMikvVHlwZSBnZXdpanppZ2Que0NvbHVtbjExMCwxMDl9JnF1b3Q7LCZxdW90O1NlY3Rpb24xL21hcHBpbmdfYnVkZ2V0LVRCT193ZWlnaHRlZCAoMikvVHlwZSBnZXdpanppZ2Que0NvbHVtbjExMSwxMTB9JnF1b3Q7LCZxdW90O1NlY3Rpb24xL21hcHBpbmdfYnVkZ2V0LVRCT193ZWlnaHRlZCAoMikvVHlwZSBnZXdpanppZ2Que0NvbHVtbjExMiwxMTF9JnF1b3Q7LCZxdW90O1NlY3Rpb24xL21hcHBpbmdfYnVkZ2V0LVRCT193ZWlnaHRlZCAoMikvVHlwZSBnZXdpanppZ2Que0NvbHVtbjExMywxMTJ9JnF1b3Q7LCZxdW90O1NlY3Rpb24xL21hcHBpbmdfYnVkZ2V0LVRCT193ZWlnaHRlZCAoMikvVHlwZSBnZXdpanppZ2Que0NvbHVtbjExNCwxMTN9JnF1b3Q7LCZxdW90O1NlY3Rpb24xL21hcHBpbmdfYnVkZ2V0LVRCT193ZWlnaHRlZCAoMikvVHlwZSBnZXdpanppZ2Que0NvbHVtbjExNSwxMTR9JnF1b3Q7LCZxdW90O1NlY3Rpb24xL21hcHBpbmdfYnVkZ2V0LVRCT193ZWlnaHRlZCAoMikvVHlwZSBnZXdpanppZ2Que0NvbHVtbjExNiwxMTV9JnF1b3Q7LCZxdW90O1NlY3Rpb24xL21hcHBpbmdfYnVkZ2V0LVRCT193ZWlnaHRlZCAoMikvVHlwZSBnZXdpanppZ2Que0NvbHVtbjExNywxMTZ9JnF1b3Q7LCZxdW90O1NlY3Rpb24xL21hcHBpbmdfYnVkZ2V0LVRCT193ZWlnaHRlZCAoMikvVHlwZSBnZXdpanppZ2Que0NvbHVtbjExOCwxMTd9JnF1b3Q7LCZxdW90O1NlY3Rpb24xL21hcHBpbmdfYnVkZ2V0LVRCT193ZWlnaHRlZCAoMikvVHlwZSBnZXdpanppZ2Que0NvbHVtbjExOSwxMTh9JnF1b3Q7LCZxdW90O1NlY3Rpb24xL21hcHBpbmdfYnVkZ2V0LVRCT193ZWlnaHRlZCAoMikvVHlwZSBnZXdpanppZ2Que0NvbHVtbjEyMCwxMTl9JnF1b3Q7LCZxdW90O1NlY3Rpb24xL21hcHBpbmdfYnVkZ2V0LVRCT193ZWlnaHRlZCAoMikvVHlwZSBnZXdpanppZ2Que0NvbHVtbjEyMSwxMjB9JnF1b3Q7LCZxdW90O1NlY3Rpb24xL21hcHBpbmdfYnVkZ2V0LVRCT193ZWlnaHRlZCAoMikvVHlwZSBnZXdpanppZ2Que0NvbHVtbjEyMiwxMjF9JnF1b3Q7LCZxdW90O1NlY3Rpb24xL21hcHBpbmdfYnVkZ2V0LVRCT193ZWlnaHRlZCAoMikvVHlwZSBnZXdpanppZ2Que0NvbHVtbjEyMywxMjJ9JnF1b3Q7LCZxdW90O1NlY3Rpb24xL21hcHBpbmdfYnVkZ2V0LVRCT193ZWlnaHRlZCAoMikvVHlwZSBnZXdpanppZ2Que0NvbHVtbjEyNCwxMjN9JnF1b3Q7LCZxdW90O1NlY3Rpb24xL21hcHBpbmdfYnVkZ2V0LVRCT193ZWlnaHRlZCAoMikvVHlwZSBnZXdpanppZ2Que0NvbHVtbjEyNSwxMjR9JnF1b3Q7LCZxdW90O1NlY3Rpb24xL21hcHBpbmdfYnVkZ2V0LVRCT193ZWlnaHRlZCAoMikvVHlwZSBnZXdpanppZ2Que0NvbHVtbjEyNiwxMjV9JnF1b3Q7LCZxdW90O1NlY3Rpb24xL21hcHBpbmdfYnVkZ2V0LVRCT193ZWlnaHRlZCAoMikvVHlwZSBnZXdpanppZ2Que0NvbHVtbjEyNywxMjZ9JnF1b3Q7LCZxdW90O1NlY3Rpb24xL21hcHBpbmdfYnVkZ2V0LVRCT193ZWlnaHRlZCAoMikvVHlwZSBnZXdpanppZ2Que0NvbHVtbjEyOCwxMjd9JnF1b3Q7LCZxdW90O1NlY3Rpb24xL21hcHBpbmdfYnVkZ2V0LVRCT193ZWlnaHRlZCAoMikvVHlwZSBnZXdpanppZ2Que0NvbHVtbjEyOSwxMjh9JnF1b3Q7LCZxdW90O1NlY3Rpb24xL21hcHBpbmdfYnVkZ2V0LVRCT193ZWlnaHRlZCAoMikvVHlwZSBnZXdpanppZ2Que0NvbHVtbjEzMCwxMjl9JnF1b3Q7LCZxdW90O1NlY3Rpb24xL21hcHBpbmdfYnVkZ2V0LVRCT193ZWlnaHRlZCAoMikvVHlwZSBnZXdpanppZ2Que0NvbHVtbjEzMSwxMzB9JnF1b3Q7LCZxdW90O1NlY3Rpb24xL21hcHBpbmdfYnVkZ2V0LVRCT193ZWlnaHRlZCAoMikvVHlwZSBnZXdpanppZ2Que0NvbHVtbjEzMiwxMzF9JnF1b3Q7LCZxdW90O1NlY3Rpb24xL21hcHBpbmdfYnVkZ2V0LVRCT193ZWlnaHRlZCAoMikvVHlwZSBnZXdpanppZ2Que0NvbHVtbjEzMywxMzJ9JnF1b3Q7LCZxdW90O1NlY3Rpb24xL21hcHBpbmdfYnVkZ2V0LVRCT193ZWlnaHRlZCAoMikvVHlwZSBnZXdpanppZ2Que0NvbHVtbjEzNCwxMzN9JnF1b3Q7LCZxdW90O1NlY3Rpb24xL21hcHBpbmdfYnVkZ2V0LVRCT193ZWlnaHRlZCAoMikvVHlwZSBnZXdpanppZ2Que0NvbHVtbjEzNSwxMzR9JnF1b3Q7LCZxdW90O1NlY3Rpb24xL21hcHBpbmdfYnVkZ2V0LVRCT193ZWlnaHRlZCAoMikvVHlwZSBnZXdpanppZ2Que0NvbHVtbjEzNiwxMzV9JnF1b3Q7LCZxdW90O1NlY3Rpb24xL21hcHBpbmdfYnVkZ2V0LVRCT193ZWlnaHRlZCAoMikvVHlwZSBnZXdpanppZ2Que0NvbHVtbjEzNywxMzZ9JnF1b3Q7LCZxdW90O1NlY3Rpb24xL21hcHBpbmdfYnVkZ2V0LVRCT193ZWlnaHRlZCAoMikvVHlwZSBnZXdpanppZ2Que0NvbHVtbjEzOCwxMzd9JnF1b3Q7LCZxdW90O1NlY3Rpb24xL21hcHBpbmdfYnVkZ2V0LVRCT193ZWlnaHRlZCAoMikvVHlwZSBnZXdpanppZ2Que0NvbHVtbjEzOSwxMzh9JnF1b3Q7LCZxdW90O1NlY3Rpb24xL21hcHBpbmdfYnVkZ2V0LVRCT193ZWlnaHRlZCAoMikvVHlwZSBnZXdpanppZ2Que0NvbHVtbjE0MCwxMzl9JnF1b3Q7LCZxdW90O1NlY3Rpb24xL21hcHBpbmdfYnVkZ2V0LVRCT193ZWlnaHRlZCAoMikvVHlwZSBnZXdpanppZ2Que0NvbHVtbjE0MSwxNDB9JnF1b3Q7LCZxdW90O1NlY3Rpb24xL21hcHBpbmdfYnVkZ2V0LVRCT193ZWlnaHRlZCAoMikvVHlwZSBnZXdpanppZ2Que0NvbHVtbjE0MiwxNDF9JnF1b3Q7LCZxdW90O1NlY3Rpb24xL21hcHBpbmdfYnVkZ2V0LVRCT193ZWlnaHRlZCAoMikvVHlwZSBnZXdpanppZ2Que0NvbHVtbjE0MywxNDJ9JnF1b3Q7LCZxdW90O1NlY3Rpb24xL21hcHBpbmdfYnVkZ2V0LVRCT193ZWlnaHRlZCAoMikvVHlwZSBnZXdpanppZ2Que0NvbHVtbjE0NCwxNDN9JnF1b3Q7LCZxdW90O1NlY3Rpb24xL21hcHBpbmdfYnVkZ2V0LVRCT193ZWlnaHRlZCAoMikvVHlwZSBnZXdpanppZ2Que0NvbHVtbjE0NSwxNDR9JnF1b3Q7LCZxdW90O1NlY3Rpb24xL21hcHBpbmdfYnVkZ2V0LVRCT193ZWlnaHRlZCAoMikvVHlwZSBnZXdpanppZ2Que0NvbHVtbjE0NiwxNDV9JnF1b3Q7LCZxdW90O1NlY3Rpb24xL21hcHBpbmdfYnVkZ2V0LVRCT193ZWlnaHRlZCAoMikvVHlwZSBnZXdpanppZ2Que0NvbHVtbjE0NywxNDZ9JnF1b3Q7LCZxdW90O1NlY3Rpb24xL21hcHBpbmdfYnVkZ2V0LVRCT193ZWlnaHRlZCAoMikvVHlwZSBnZXdpanppZ2Que0NvbHVtbjE0OCwxNDd9JnF1b3Q7LCZxdW90O1NlY3Rpb24xL21hcHBpbmdfYnVkZ2V0LVRCT193ZWlnaHRlZCAoMikvVHlwZSBnZXdpanppZ2Que0NvbHVtbjE0OSwxNDh9JnF1b3Q7LCZxdW90O1NlY3Rpb24xL21hcHBpbmdfYnVkZ2V0LVRCT193ZWlnaHRlZCAoMikvVHlwZSBnZXdpanppZ2Que0NvbHVtbjE1MCwxNDl9JnF1b3Q7LCZxdW90O1NlY3Rpb24xL21hcHBpbmdfYnVkZ2V0LVRCT193ZWlnaHRlZCAoMikvVHlwZSBnZXdpanppZ2Que0NvbHVtbjE1MSwxNTB9JnF1b3Q7LCZxdW90O1NlY3Rpb24xL21hcHBpbmdfYnVkZ2V0LVRCT193ZWlnaHRlZCAoMikvVHlwZSBnZXdpanppZ2Que0NvbHVtbjE1MiwxNTF9JnF1b3Q7LCZxdW90O1NlY3Rpb24xL21hcHBpbmdfYnVkZ2V0LVRCT193ZWlnaHRlZCAoMikvVHlwZSBnZXdpanppZ2Que0NvbHVtbjE1MywxNTJ9JnF1b3Q7LCZxdW90O1NlY3Rpb24xL21hcHBpbmdfYnVkZ2V0LVRCT193ZWlnaHRlZCAoMikvVHlwZSBnZXdpanppZ2Que0NvbHVtbjE1NCwxNTN9JnF1b3Q7LCZxdW90O1NlY3Rpb24xL21hcHBpbmdfYnVkZ2V0LVRCT193ZWlnaHRlZCAoMikvVHlwZSBnZXdpanppZ2Que0NvbHVtbjE1NSwxNTR9JnF1b3Q7LCZxdW90O1NlY3Rpb24xL21hcHBpbmdfYnVkZ2V0LVRCT193ZWlnaHRlZCAoMikvVHlwZSBnZXdpanppZ2Que0NvbHVtbjE1NiwxNTV9JnF1b3Q7LCZxdW90O1NlY3Rpb24xL21hcHBpbmdfYnVkZ2V0LVRCT193ZWlnaHRlZCAoMikvVHlwZSBnZXdpanppZ2Que0NvbHVtbjE1NywxNTZ9JnF1b3Q7LCZxdW90O1NlY3Rpb24xL21hcHBpbmdfYnVkZ2V0LVRCT193ZWlnaHRlZCAoMikvVHlwZSBnZXdpanppZ2Que0NvbHVtbjE1OCwxNTd9JnF1b3Q7LCZxdW90O1NlY3Rpb24xL21hcHBpbmdfYnVkZ2V0LVRCT193ZWlnaHRlZCAoMikvVHlwZSBnZXdpanppZ2Que0NvbHVtbjE1OSwxNTh9JnF1b3Q7LCZxdW90O1NlY3Rpb24xL21hcHBpbmdfYnVkZ2V0LVRCT193ZWlnaHRlZCAoMikvVHlwZSBnZXdpanppZ2Que0NvbHVtbjE2MCwxNTl9JnF1b3Q7LCZxdW90O1NlY3Rpb24xL21hcHBpbmdfYnVkZ2V0LVRCT193ZWlnaHRlZCAoMikvVHlwZSBnZXdpanppZ2Que0NvbHVtbjE2MSwxNjB9JnF1b3Q7LCZxdW90O1NlY3Rpb24xL21hcHBpbmdfYnVkZ2V0LVRCT193ZWlnaHRlZCAoMikvVHlwZSBnZXdpanppZ2Que0NvbHVtbjE2MiwxNjF9JnF1b3Q7LCZxdW90O1NlY3Rpb24xL21hcHBpbmdfYnVkZ2V0LVRCT193ZWlnaHRlZCAoMikvVHlwZSBnZXdpanppZ2Que0NvbHVtbjE2MywxNjJ9JnF1b3Q7LCZxdW90O1NlY3Rpb24xL21hcHBpbmdfYnVkZ2V0LVRCT193ZWlnaHRlZCAoMikvVHlwZSBnZXdpanppZ2Que0NvbHVtbjE2NCwxNjN9JnF1b3Q7LCZxdW90O1NlY3Rpb24xL21hcHBpbmdfYnVkZ2V0LVRCT193ZWlnaHRlZCAoMikvVHlwZSBnZXdpanppZ2Que0NvbHVtbjE2NSwxNjR9JnF1b3Q7LCZxdW90O1NlY3Rpb24xL21hcHBpbmdfYnVkZ2V0LVRCT193ZWlnaHRlZCAoMikvVHlwZSBnZXdpanppZ2Que0NvbHVtbjE2NiwxNjV9JnF1b3Q7LCZxdW90O1NlY3Rpb24xL21hcHBpbmdfYnVkZ2V0LVRCT193ZWlnaHRlZCAoMikvVHlwZSBnZXdpanppZ2Que0NvbHVtbjE2NywxNjZ9JnF1b3Q7LCZxdW90O1NlY3Rpb24xL21hcHBpbmdfYnVkZ2V0LVRCT193ZWlnaHRlZCAoMikvVHlwZSBnZXdpanppZ2Que0NvbHVtbjE2OCwxNjd9JnF1b3Q7LCZxdW90O1NlY3Rpb24xL21hcHBpbmdfYnVkZ2V0LVRCT193ZWlnaHRlZCAoMikvVHlwZSBnZXdpanppZ2Que0NvbHVtbjE2OSwxNjh9JnF1b3Q7LCZxdW90O1NlY3Rpb24xL21hcHBpbmdfYnVkZ2V0LVRCT193ZWlnaHRlZCAoMikvVHlwZSBnZXdpanppZ2Que0NvbHVtbjE3MCwxNjl9JnF1b3Q7LCZxdW90O1NlY3Rpb24xL21hcHBpbmdfYnVkZ2V0LVRCT193ZWlnaHRlZCAoMikvVHlwZSBnZXdpanppZ2Que0NvbHVtbjE3MSwxNzB9JnF1b3Q7LCZxdW90O1NlY3Rpb24xL21hcHBpbmdfYnVkZ2V0LVRCT193ZWlnaHRlZCAoMikvVHlwZSBnZXdpanppZ2Que0NvbHVtbjE3MiwxNzF9JnF1b3Q7LCZxdW90O1NlY3Rpb24xL21hcHBpbmdfYnVkZ2V0LVRCT193ZWlnaHRlZCAoMikvVHlwZSBnZXdpanppZ2Que0NvbHVtbjE3MywxNzJ9JnF1b3Q7LCZxdW90O1NlY3Rpb24xL21hcHBpbmdfYnVkZ2V0LVRCT193ZWlnaHRlZCAoMikvVHlwZSBnZXdpanppZ2Que0NvbHVtbjE3NCwxNzN9JnF1b3Q7LCZxdW90O1NlY3Rpb24xL21hcHBpbmdfYnVkZ2V0LVRCT193ZWlnaHRlZCAoMikvVHlwZSBnZXdpanppZ2Que0NvbHVtbjE3NSwxNzR9JnF1b3Q7LCZxdW90O1NlY3Rpb24xL21hcHBpbmdfYnVkZ2V0LVRCT193ZWlnaHRlZCAoMikvVHlwZSBnZXdpanppZ2Que0NvbHVtbjE3NiwxNzV9JnF1b3Q7LCZxdW90O1NlY3Rpb24xL21hcHBpbmdfYnVkZ2V0LVRCT193ZWlnaHRlZCAoMikvVHlwZSBnZXdpanppZ2Que0NvbHVtbjE3NywxNzZ9JnF1b3Q7LCZxdW90O1NlY3Rpb24xL21hcHBpbmdfYnVkZ2V0LVRCT193ZWlnaHRlZCAoMikvVHlwZSBnZXdpanppZ2Que0NvbHVtbjE3OCwxNzd9JnF1b3Q7LCZxdW90O1NlY3Rpb24xL21hcHBpbmdfYnVkZ2V0LVRCT193ZWlnaHRlZCAoMikvVHlwZSBnZXdpanppZ2Que0NvbHVtbjE3OSwxNzh9JnF1b3Q7LCZxdW90O1NlY3Rpb24xL21hcHBpbmdfYnVkZ2V0LVRCT193ZWlnaHRlZCAoMikvVHlwZSBnZXdpanppZ2Que0NvbHVtbjE4MCwxNzl9JnF1b3Q7LCZxdW90O1NlY3Rpb24xL21hcHBpbmdfYnVkZ2V0LVRCT193ZWlnaHRlZCAoMikvVHlwZSBnZXdpanppZ2Que0NvbHVtbjE4MSwxODB9JnF1b3Q7LCZxdW90O1NlY3Rpb24xL21hcHBpbmdfYnVkZ2V0LVRCT193ZWlnaHRlZCAoMikvVHlwZSBnZXdpanppZ2Que0NvbHVtbjE4MiwxODF9JnF1b3Q7LCZxdW90O1NlY3Rpb24xL21hcHBpbmdfYnVkZ2V0LVRCT193ZWlnaHRlZCAoMikvVHlwZSBnZXdpanppZ2Que0NvbHVtbjE4MywxODJ9JnF1b3Q7LCZxdW90O1NlY3Rpb24xL21hcHBpbmdfYnVkZ2V0LVRCT193ZWlnaHRlZCAoMikvVHlwZSBnZXdpanppZ2Que0NvbHVtbjE4NCwxODN9JnF1b3Q7LCZxdW90O1NlY3Rpb24xL21hcHBpbmdfYnVkZ2V0LVRCT193ZWlnaHRlZCAoMikvVHlwZSBnZXdpanppZ2Que0NvbHVtbjE4NSwxODR9JnF1b3Q7LCZxdW90O1NlY3Rpb24xL21hcHBpbmdfYnVkZ2V0LVRCT193ZWlnaHRlZCAoMikvVHlwZSBnZXdpanppZ2Que0NvbHVtbjE4NiwxODV9JnF1b3Q7LCZxdW90O1NlY3Rpb24xL21hcHBpbmdfYnVkZ2V0LVRCT193ZWlnaHRlZCAoMikvVHlwZSBnZXdpanppZ2Que0NvbHVtbjE4NywxODZ9JnF1b3Q7LCZxdW90O1NlY3Rpb24xL21hcHBpbmdfYnVkZ2V0LVRCT193ZWlnaHRlZCAoMikvVHlwZSBnZXdpanppZ2Que0NvbHVtbjE4OCwxODd9JnF1b3Q7LCZxdW90O1NlY3Rpb24xL21hcHBpbmdfYnVkZ2V0LVRCT193ZWlnaHRlZCAoMikvVHlwZSBnZXdpanppZ2Que0NvbHVtbjE4OSwxODh9JnF1b3Q7LCZxdW90O1NlY3Rpb24xL21hcHBpbmdfYnVkZ2V0LVRCT193ZWlnaHRlZCAoMikvVHlwZSBnZXdpanppZ2Que0NvbHVtbjE5MCwxODl9JnF1b3Q7LCZxdW90O1NlY3Rpb24xL21hcHBpbmdfYnVkZ2V0LVRCT193ZWlnaHRlZCAoMikvVHlwZSBnZXdpanppZ2Que0NvbHVtbjE5MSwxOTB9JnF1b3Q7LCZxdW90O1NlY3Rpb24xL21hcHBpbmdfYnVkZ2V0LVRCT193ZWlnaHRlZCAoMikvVHlwZSBnZXdpanppZ2Que0NvbHVtbjE5MiwxOTF9JnF1b3Q7LCZxdW90O1NlY3Rpb24xL21hcHBpbmdfYnVkZ2V0LVRCT193ZWlnaHRlZCAoMikvVHlwZSBnZXdpanppZ2Que0NvbHVtbjE5MywxOTJ9JnF1b3Q7LCZxdW90O1NlY3Rpb24xL21hcHBpbmdfYnVkZ2V0LVRCT193ZWlnaHRlZCAoMikvVHlwZSBnZXdpanppZ2Que0NvbHVtbjE5NCwxOTN9JnF1b3Q7LCZxdW90O1NlY3Rpb24xL21hcHBpbmdfYnVkZ2V0LVRCT193ZWlnaHRlZCAoMikvVHlwZSBnZXdpanppZ2Que0NvbHVtbjE5NSwxOTR9JnF1b3Q7LCZxdW90O1NlY3Rpb24xL21hcHBpbmdfYnVkZ2V0LVRCT193ZWlnaHRlZCAoMikvVHlwZSBnZXdpanppZ2Que0NvbHVtbjE5NiwxOTV9JnF1b3Q7LCZxdW90O1NlY3Rpb24xL21hcHBpbmdfYnVkZ2V0LVRCT193ZWlnaHRlZCAoMikvVHlwZSBnZXdpanppZ2Que0NvbHVtbjE5NywxOTZ9JnF1b3Q7LCZxdW90O1NlY3Rpb24xL21hcHBpbmdfYnVkZ2V0LVRCT193ZWlnaHRlZCAoMikvVHlwZSBnZXdpanppZ2Que0NvbHVtbjE5OCwxOTd9JnF1b3Q7LCZxdW90O1NlY3Rpb24xL21hcHBpbmdfYnVkZ2V0LVRCT193ZWlnaHRlZCAoMikvVHlwZSBnZXdpanppZ2Que0NvbHVtbjE5OSwxOTh9JnF1b3Q7LCZxdW90O1NlY3Rpb24xL21hcHBpbmdfYnVkZ2V0LVRCT193ZWlnaHRlZCAoMikvVHlwZSBnZXdpanppZ2Que0NvbHVtbjIwMCwxOTl9JnF1b3Q7LCZxdW90O1NlY3Rpb24xL21hcHBpbmdfYnVkZ2V0LVRCT193ZWlnaHRlZCAoMikvVHlwZSBnZXdpanppZ2Que0NvbHVtbjIwMSwyMDB9JnF1b3Q7LCZxdW90O1NlY3Rpb24xL21hcHBpbmdfYnVkZ2V0LVRCT193ZWlnaHRlZCAoMikvVHlwZSBnZXdpanppZ2Que0NvbHVtbjIwMiwyMDF9JnF1b3Q7LCZxdW90O1NlY3Rpb24xL21hcHBpbmdfYnVkZ2V0LVRCT193ZWlnaHRlZCAoMikvVHlwZSBnZXdpanppZ2Que0NvbHVtbjIwMywyMDJ9JnF1b3Q7LCZxdW90O1NlY3Rpb24xL21hcHBpbmdfYnVkZ2V0LVRCT193ZWlnaHRlZCAoMikvVHlwZSBnZXdpanppZ2Que0NvbHVtbjIwNCwyMDN9JnF1b3Q7LCZxdW90O1NlY3Rpb24xL21hcHBpbmdfYnVkZ2V0LVRCT193ZWlnaHRlZCAoMikvVHlwZSBnZXdpanppZ2Que0NvbHVtbjIwNSwyMDR9JnF1b3Q7LCZxdW90O1NlY3Rpb24xL21hcHBpbmdfYnVkZ2V0LVRCT193ZWlnaHRlZCAoMikvVHlwZSBnZXdpanppZ2Que0NvbHVtbjIwNiwyMDV9JnF1b3Q7LCZxdW90O1NlY3Rpb24xL21hcHBpbmdfYnVkZ2V0LVRCT193ZWlnaHRlZCAoMikvVHlwZSBnZXdpanppZ2Que0NvbHVtbjIwNywyMDZ9JnF1b3Q7LCZxdW90O1NlY3Rpb24xL21hcHBpbmdfYnVkZ2V0LVRCT193ZWlnaHRlZCAoMikvVHlwZSBnZXdpanppZ2Que0NvbHVtbjIwOCwyMDd9JnF1b3Q7LCZxdW90O1NlY3Rpb24xL21hcHBpbmdfYnVkZ2V0LVRCT193ZWlnaHRlZCAoMikvVHlwZSBnZXdpanppZ2Que0NvbHVtbjIwOSwyMDh9JnF1b3Q7LCZxdW90O1NlY3Rpb24xL21hcHBpbmdfYnVkZ2V0LVRCT193ZWlnaHRlZCAoMikvVHlwZSBnZXdpanppZ2Que0NvbHVtbjIxMCwyMDl9JnF1b3Q7LCZxdW90O1NlY3Rpb24xL21hcHBpbmdfYnVkZ2V0LVRCT193ZWlnaHRlZCAoMikvVHlwZSBnZXdpanppZ2Que0NvbHVtbjIxMSwyMTB9JnF1b3Q7LCZxdW90O1NlY3Rpb24xL21hcHBpbmdfYnVkZ2V0LVRCT193ZWlnaHRlZCAoMikvVHlwZSBnZXdpanppZ2Que0NvbHVtbjIxMiwyMTF9JnF1b3Q7LCZxdW90O1NlY3Rpb24xL21hcHBpbmdfYnVkZ2V0LVRCT193ZWlnaHRlZCAoMikvVHlwZSBnZXdpanppZ2Que0NvbHVtbjIxMywyMTJ9JnF1b3Q7LCZxdW90O1NlY3Rpb24xL21hcHBpbmdfYnVkZ2V0LVRCT193ZWlnaHRlZCAoMikvVHlwZSBnZXdpanppZ2Que0NvbHVtbjIxNCwyMTN9JnF1b3Q7LCZxdW90O1NlY3Rpb24xL21hcHBpbmdfYnVkZ2V0LVRCT193ZWlnaHRlZCAoMikvVHlwZSBnZXdpanppZ2Que0NvbHVtbjIxNSwyMTR9JnF1b3Q7LCZxdW90O1NlY3Rpb24xL21hcHBpbmdfYnVkZ2V0LVRCT193ZWlnaHRlZCAoMikvVHlwZSBnZXdpanppZ2Que0NvbHVtbjIxNiwyMTV9JnF1b3Q7LCZxdW90O1NlY3Rpb24xL21hcHBpbmdfYnVkZ2V0LVRCT193ZWlnaHRlZCAoMikvVHlwZSBnZXdpanppZ2Que0NvbHVtbjIxNywyMTZ9JnF1b3Q7LCZxdW90O1NlY3Rpb24xL21hcHBpbmdfYnVkZ2V0LVRCT193ZWlnaHRlZCAoMikvVHlwZSBnZXdpanppZ2Que0NvbHVtbjIxOCwyMTd9JnF1b3Q7LCZxdW90O1NlY3Rpb24xL21hcHBpbmdfYnVkZ2V0LVRCT193ZWlnaHRlZCAoMikvVHlwZSBnZXdpanppZ2Que0NvbHVtbjIxOSwyMTh9JnF1b3Q7LCZxdW90O1NlY3Rpb24xL21hcHBpbmdfYnVkZ2V0LVRCT193ZWlnaHRlZCAoMikvVHlwZSBnZXdpanppZ2Que0NvbHVtbjIyMCwyMTl9JnF1b3Q7LCZxdW90O1NlY3Rpb24xL21hcHBpbmdfYnVkZ2V0LVRCT193ZWlnaHRlZCAoMikvVHlwZSBnZXdpanppZ2Que0NvbHVtbjIyMSwyMjB9JnF1b3Q7LCZxdW90O1NlY3Rpb24xL21hcHBpbmdfYnVkZ2V0LVRCT193ZWlnaHRlZCAoMikvVHlwZSBnZXdpanppZ2Que0NvbHVtbjIyMiwyMjF9JnF1b3Q7LCZxdW90O1NlY3Rpb24xL21hcHBpbmdfYnVkZ2V0LVRCT193ZWlnaHRlZCAoMikvVHlwZSBnZXdpanppZ2Que0NvbHVtbjIyMywyMjJ9JnF1b3Q7LCZxdW90O1NlY3Rpb24xL21hcHBpbmdfYnVkZ2V0LVRCT193ZWlnaHRlZCAoMikvVHlwZSBnZXdpanppZ2Que0NvbHVtbjIyNCwyMjN9JnF1b3Q7LCZxdW90O1NlY3Rpb24xL21hcHBpbmdfYnVkZ2V0LVRCT193ZWlnaHRlZCAoMikvVHlwZSBnZXdpanppZ2Que0NvbHVtbjIyNSwyMjR9JnF1b3Q7LCZxdW90O1NlY3Rpb24xL21hcHBpbmdfYnVkZ2V0LVRCT193ZWlnaHRlZCAoMikvVHlwZSBnZXdpanppZ2Que0NvbHVtbjIyNiwyMjV9JnF1b3Q7LCZxdW90O1NlY3Rpb24xL21hcHBpbmdfYnVkZ2V0LVRCT193ZWlnaHRlZCAoMikvVHlwZSBnZXdpanppZ2Que0NvbHVtbjIyNywyMjZ9JnF1b3Q7LCZxdW90O1NlY3Rpb24xL21hcHBpbmdfYnVkZ2V0LVRCT193ZWlnaHRlZCAoMikvVHlwZSBnZXdpanppZ2Que0NvbHVtbjIyOCwyMjd9JnF1b3Q7LCZxdW90O1NlY3Rpb24xL21hcHBpbmdfYnVkZ2V0LVRCT193ZWlnaHRlZCAoMikvVHlwZSBnZXdpanppZ2Que0NvbHVtbjIyOSwyMjh9JnF1b3Q7LCZxdW90O1NlY3Rpb24xL21hcHBpbmdfYnVkZ2V0LVRCT193ZWlnaHRlZCAoMikvVHlwZSBnZXdpanppZ2Que0NvbHVtbjIzMCwyMjl9JnF1b3Q7LCZxdW90O1NlY3Rpb24xL21hcHBpbmdfYnVkZ2V0LVRCT193ZWlnaHRlZCAoMikvVHlwZSBnZXdpanppZ2Que0NvbHVtbjIzMSwyMzB9JnF1b3Q7LCZxdW90O1NlY3Rpb24xL21hcHBpbmdfYnVkZ2V0LVRCT193ZWlnaHRlZCAoMikvVHlwZSBnZXdpanppZ2Que0NvbHVtbjIzMiwyMzF9JnF1b3Q7LCZxdW90O1NlY3Rpb24xL21hcHBpbmdfYnVkZ2V0LVRCT193ZWlnaHRlZCAoMikvVHlwZSBnZXdpanppZ2Que0NvbHVtbjIzMywyMzJ9JnF1b3Q7LCZxdW90O1NlY3Rpb24xL21hcHBpbmdfYnVkZ2V0LVRCT193ZWlnaHRlZCAoMikvVHlwZSBnZXdpanppZ2Que0NvbHVtbjIzNCwyMzN9JnF1b3Q7LCZxdW90O1NlY3Rpb24xL21hcHBpbmdfYnVkZ2V0LVRCT193ZWlnaHRlZCAoMikvVHlwZSBnZXdpanppZ2Que0NvbHVtbjIzNSwyMzR9JnF1b3Q7LCZxdW90O1NlY3Rpb24xL21hcHBpbmdfYnVkZ2V0LVRCT193ZWlnaHRlZCAoMikvVHlwZSBnZXdpanppZ2Que0NvbHVtbjIzNiwyMzV9JnF1b3Q7LCZxdW90O1NlY3Rpb24xL21hcHBpbmdfYnVkZ2V0LVRCT193ZWlnaHRlZCAoMikvVHlwZSBnZXdpanppZ2Que0NvbHVtbjIzNywyMzZ9JnF1b3Q7LCZxdW90O1NlY3Rpb24xL21hcHBpbmdfYnVkZ2V0LVRCT193ZWlnaHRlZCAoMikvVHlwZSBnZXdpanppZ2Que0NvbHVtbjIzOCwyMzd9JnF1b3Q7LCZxdW90O1NlY3Rpb24xL21hcHBpbmdfYnVkZ2V0LVRCT193ZWlnaHRlZCAoMikvVHlwZSBnZXdpanppZ2Que0NvbHVtbjIzOSwyMzh9JnF1b3Q7LCZxdW90O1NlY3Rpb24xL21hcHBpbmdfYnVkZ2V0LVRCT193ZWlnaHRlZCAoMikvVHlwZSBnZXdpanppZ2Que0NvbHVtbjI0MCwyMzl9JnF1b3Q7LCZxdW90O1NlY3Rpb24xL21hcHBpbmdfYnVkZ2V0LVRCT193ZWlnaHRlZCAoMikvVHlwZSBnZXdpanppZ2Que0NvbHVtbjI0MSwyNDB9JnF1b3Q7LCZxdW90O1NlY3Rpb24xL21hcHBpbmdfYnVkZ2V0LVRCT193ZWlnaHRlZCAoMikvVHlwZSBnZXdpanppZ2Que0NvbHVtbjI0MiwyNDF9JnF1b3Q7LCZxdW90O1NlY3Rpb24xL21hcHBpbmdfYnVkZ2V0LVRCT193ZWlnaHRlZCAoMikvVHlwZSBnZXdpanppZ2Que0NvbHVtbjI0MywyNDJ9JnF1b3Q7LCZxdW90O1NlY3Rpb24xL21hcHBpbmdfYnVkZ2V0LVRCT193ZWlnaHRlZCAoMikvVHlwZSBnZXdpanppZ2Que0NvbHVtbjI0NCwyNDN9JnF1b3Q7LCZxdW90O1NlY3Rpb24xL21hcHBpbmdfYnVkZ2V0LVRCT193ZWlnaHRlZCAoMikvVHlwZSBnZXdpanppZ2Que0NvbHVtbjI0NSwyNDR9JnF1b3Q7LCZxdW90O1NlY3Rpb24xL21hcHBpbmdfYnVkZ2V0LVRCT193ZWlnaHRlZCAoMikvVHlwZSBnZXdpanppZ2Que0NvbHVtbjI0NiwyNDV9JnF1b3Q7LCZxdW90O1NlY3Rpb24xL21hcHBpbmdfYnVkZ2V0LVRCT193ZWlnaHRlZCAoMikvVHlwZSBnZXdpanppZ2Que0NvbHVtbjI0NywyNDZ9JnF1b3Q7LCZxdW90O1NlY3Rpb24xL21hcHBpbmdfYnVkZ2V0LVRCT193ZWlnaHRlZCAoMikvVHlwZSBnZXdpanppZ2Que0NvbHVtbjI0OCwyNDd9JnF1b3Q7LCZxdW90O1NlY3Rpb24xL21hcHBpbmdfYnVkZ2V0LVRCT193ZWlnaHRlZCAoMikvVHlwZSBnZXdpanppZ2Que0NvbHVtbjI0OSwyNDh9JnF1b3Q7LCZxdW90O1NlY3Rpb24xL21hcHBpbmdfYnVkZ2V0LVRCT193ZWlnaHRlZCAoMikvVHlwZSBnZXdpanppZ2Que0NvbHVtbjI1MCwyNDl9JnF1b3Q7LCZxdW90O1NlY3Rpb24xL21hcHBpbmdfYnVkZ2V0LVRCT193ZWlnaHRlZCAoMikvVHlwZSBnZXdpanppZ2Que0NvbHVtbjI1MSwyNTB9JnF1b3Q7LCZxdW90O1NlY3Rpb24xL21hcHBpbmdfYnVkZ2V0LVRCT193ZWlnaHRlZCAoMikvVHlwZSBnZXdpanppZ2Que0NvbHVtbjI1MiwyNTF9JnF1b3Q7LCZxdW90O1NlY3Rpb24xL21hcHBpbmdfYnVkZ2V0LVRCT193ZWlnaHRlZCAoMikvVHlwZSBnZXdpanppZ2Que0NvbHVtbjI1MywyNTJ9JnF1b3Q7LCZxdW90O1NlY3Rpb24xL21hcHBpbmdfYnVkZ2V0LVRCT193ZWlnaHRlZCAoMikvVHlwZSBnZXdpanppZ2Que0NvbHVtbjI1NCwyNTN9JnF1b3Q7LCZxdW90O1NlY3Rpb24xL21hcHBpbmdfYnVkZ2V0LVRCT193ZWlnaHRlZCAoMikvVHlwZSBnZXdpanppZ2Que0NvbHVtbjI1NSwyNTR9JnF1b3Q7LCZxdW90O1NlY3Rpb24xL21hcHBpbmdfYnVkZ2V0LVRCT193ZWlnaHRlZCAoMikvVHlwZSBnZXdpanppZ2Que0NvbHVtbjI1NiwyNTV9JnF1b3Q7LCZxdW90O1NlY3Rpb24xL21hcHBpbmdfYnVkZ2V0LVRCT193ZWlnaHRlZCAoMikvVHlwZSBnZXdpanppZ2Que0NvbHVtbjI1NywyNTZ9JnF1b3Q7LCZxdW90O1NlY3Rpb24xL21hcHBpbmdfYnVkZ2V0LVRCT193ZWlnaHRlZCAoMikvVHlwZSBnZXdpanppZ2Que0NvbHVtbjI1OCwyNTd9JnF1b3Q7LCZxdW90O1NlY3Rpb24xL21hcHBpbmdfYnVkZ2V0LVRCT193ZWlnaHRlZCAoMikvVHlwZSBnZXdpanppZ2Que0NvbHVtbjI1OSwyNTh9JnF1b3Q7LCZxdW90O1NlY3Rpb24xL21hcHBpbmdfYnVkZ2V0LVRCT193ZWlnaHRlZCAoMikvVHlwZSBnZXdpanppZ2Que0NvbHVtbjI2MCwyNTl9JnF1b3Q7LCZxdW90O1NlY3Rpb24xL21hcHBpbmdfYnVkZ2V0LVRCT193ZWlnaHRlZCAoMikvVHlwZSBnZXdpanppZ2Que0NvbHVtbjI2MSwyNjB9JnF1b3Q7LCZxdW90O1NlY3Rpb24xL21hcHBpbmdfYnVkZ2V0LVRCT193ZWlnaHRlZCAoMikvVHlwZSBnZXdpanppZ2Que0NvbHVtbjI2MiwyNjF9JnF1b3Q7LCZxdW90O1NlY3Rpb24xL21hcHBpbmdfYnVkZ2V0LVRCT193ZWlnaHRlZCAoMikvVHlwZSBnZXdpanppZ2Que0NvbHVtbjI2MywyNjJ9JnF1b3Q7LCZxdW90O1NlY3Rpb24xL21hcHBpbmdfYnVkZ2V0LVRCT193ZWlnaHRlZCAoMikvVHlwZSBnZXdpanppZ2Que0NvbHVtbjI2NCwyNjN9JnF1b3Q7LCZxdW90O1NlY3Rpb24xL21hcHBpbmdfYnVkZ2V0LVRCT193ZWlnaHRlZCAoMikvVHlwZSBnZXdpanppZ2Que0NvbHVtbjI2NSwyNjR9JnF1b3Q7LCZxdW90O1NlY3Rpb24xL21hcHBpbmdfYnVkZ2V0LVRCT193ZWlnaHRlZCAoMikvVHlwZSBnZXdpanppZ2Que0NvbHVtbjI2NiwyNjV9JnF1b3Q7LCZxdW90O1NlY3Rpb24xL21hcHBpbmdfYnVkZ2V0LVRCT193ZWlnaHRlZCAoMikvVHlwZSBnZXdpanppZ2Que0NvbHVtbjI2NywyNjZ9JnF1b3Q7LCZxdW90O1NlY3Rpb24xL21hcHBpbmdfYnVkZ2V0LVRCT193ZWlnaHRlZCAoMikvVHlwZSBnZXdpanppZ2Que0NvbHVtbjI2OCwyNjd9JnF1b3Q7LCZxdW90O1NlY3Rpb24xL21hcHBpbmdfYnVkZ2V0LVRCT193ZWlnaHRlZCAoMikvVHlwZSBnZXdpanppZ2Que0NvbHVtbjI2OSwyNjh9JnF1b3Q7LCZxdW90O1NlY3Rpb24xL21hcHBpbmdfYnVkZ2V0LVRCT193ZWlnaHRlZCAoMikvVHlwZSBnZXdpanppZ2Que0NvbHVtbjI3MCwyNjl9JnF1b3Q7LCZxdW90O1NlY3Rpb24xL21hcHBpbmdfYnVkZ2V0LVRCT193ZWlnaHRlZCAoMikvVHlwZSBnZXdpanppZ2Que0NvbHVtbjI3MSwyNzB9JnF1b3Q7LCZxdW90O1NlY3Rpb24xL21hcHBpbmdfYnVkZ2V0LVRCT193ZWlnaHRlZCAoMikvVHlwZSBnZXdpanppZ2Que0NvbHVtbjI3MiwyNzF9JnF1b3Q7LCZxdW90O1NlY3Rpb24xL21hcHBpbmdfYnVkZ2V0LVRCT193ZWlnaHRlZCAoMikvVHlwZSBnZXdpanppZ2Que0NvbHVtbjI3MywyNzJ9JnF1b3Q7LCZxdW90O1NlY3Rpb24xL21hcHBpbmdfYnVkZ2V0LVRCT193ZWlnaHRlZCAoMikvVHlwZSBnZXdpanppZ2Que0NvbHVtbjI3NCwyNzN9JnF1b3Q7LCZxdW90O1NlY3Rpb24xL21hcHBpbmdfYnVkZ2V0LVRCT193ZWlnaHRlZCAoMikvVHlwZSBnZXdpanppZ2Que0NvbHVtbjI3NSwyNzR9JnF1b3Q7LCZxdW90O1NlY3Rpb24xL21hcHBpbmdfYnVkZ2V0LVRCT193ZWlnaHRlZCAoMikvVHlwZSBnZXdpanppZ2Que0NvbHVtbjI3NiwyNzV9JnF1b3Q7LCZxdW90O1NlY3Rpb24xL21hcHBpbmdfYnVkZ2V0LVRCT193ZWlnaHRlZCAoMikvVHlwZSBnZXdpanppZ2Que0NvbHVtbjI3NywyNzZ9JnF1b3Q7LCZxdW90O1NlY3Rpb24xL21hcHBpbmdfYnVkZ2V0LVRCT193ZWlnaHRlZCAoMikvVHlwZSBnZXdpanppZ2Que0NvbHVtbjI3OCwyNzd9JnF1b3Q7LCZxdW90O1NlY3Rpb24xL21hcHBpbmdfYnVkZ2V0LVRCT193ZWlnaHRlZCAoMikvVHlwZSBnZXdpanppZ2Que0NvbHVtbjI3OSwyNzh9JnF1b3Q7LCZxdW90O1NlY3Rpb24xL21hcHBpbmdfYnVkZ2V0LVRCT193ZWlnaHRlZCAoMikvVHlwZSBnZXdpanppZ2Que0NvbHVtbjI4MCwyNzl9JnF1b3Q7LCZxdW90O1NlY3Rpb24xL21hcHBpbmdfYnVkZ2V0LVRCT193ZWlnaHRlZCAoMikvVHlwZSBnZXdpanppZ2Que0NvbHVtbjI4MSwyODB9JnF1b3Q7LCZxdW90O1NlY3Rpb24xL21hcHBpbmdfYnVkZ2V0LVRCT193ZWlnaHRlZCAoMikvVHlwZSBnZXdpanppZ2Que0NvbHVtbjI4MiwyODF9JnF1b3Q7LCZxdW90O1NlY3Rpb24xL21hcHBpbmdfYnVkZ2V0LVRCT193ZWlnaHRlZCAoMikvVHlwZSBnZXdpanppZ2Que0NvbHVtbjI4MywyODJ9JnF1b3Q7LCZxdW90O1NlY3Rpb24xL21hcHBpbmdfYnVkZ2V0LVRCT193ZWlnaHRlZCAoMikvVHlwZSBnZXdpanppZ2Que0NvbHVtbjI4NCwyODN9JnF1b3Q7LCZxdW90O1NlY3Rpb24xL21hcHBpbmdfYnVkZ2V0LVRCT193ZWlnaHRlZCAoMikvVHlwZSBnZXdpanppZ2Que0NvbHVtbjI4NSwyODR9JnF1b3Q7LCZxdW90O1NlY3Rpb24xL21hcHBpbmdfYnVkZ2V0LVRCT193ZWlnaHRlZCAoMikvVHlwZSBnZXdpanppZ2Que0NvbHVtbjI4NiwyODV9JnF1b3Q7LCZxdW90O1NlY3Rpb24xL21hcHBpbmdfYnVkZ2V0LVRCT193ZWlnaHRlZCAoMikvVHlwZSBnZXdpanppZ2Que0NvbHVtbjI4NywyODZ9JnF1b3Q7LCZxdW90O1NlY3Rpb24xL21hcHBpbmdfYnVkZ2V0LVRCT193ZWlnaHRlZCAoMikvVHlwZSBnZXdpanppZ2Que0NvbHVtbjI4OCwyODd9JnF1b3Q7LCZxdW90O1NlY3Rpb24xL21hcHBpbmdfYnVkZ2V0LVRCT193ZWlnaHRlZCAoMikvVHlwZSBnZXdpanppZ2Que0NvbHVtbjI4OSwyODh9JnF1b3Q7LCZxdW90O1NlY3Rpb24xL21hcHBpbmdfYnVkZ2V0LVRCT193ZWlnaHRlZCAoMikvVHlwZSBnZXdpanppZ2Que0NvbHVtbjI5MCwyODl9JnF1b3Q7LCZxdW90O1NlY3Rpb24xL21hcHBpbmdfYnVkZ2V0LVRCT193ZWlnaHRlZCAoMikvVHlwZSBnZXdpanppZ2Que0NvbHVtbjI5MSwyOTB9JnF1b3Q7LCZxdW90O1NlY3Rpb24xL21hcHBpbmdfYnVkZ2V0LVRCT193ZWlnaHRlZCAoMikvVHlwZSBnZXdpanppZ2Que0NvbHVtbjI5MiwyOTF9JnF1b3Q7LCZxdW90O1NlY3Rpb24xL21hcHBpbmdfYnVkZ2V0LVRCT193ZWlnaHRlZCAoMikvVHlwZSBnZXdpanppZ2Que0NvbHVtbjI5MywyOTJ9JnF1b3Q7LCZxdW90O1NlY3Rpb24xL21hcHBpbmdfYnVkZ2V0LVRCT193ZWlnaHRlZCAoMikvVHlwZSBnZXdpanppZ2Que0NvbHVtbjI5NCwyOTN9JnF1b3Q7LCZxdW90O1NlY3Rpb24xL21hcHBpbmdfYnVkZ2V0LVRCT193ZWlnaHRlZCAoMikvVHlwZSBnZXdpanppZ2Que0NvbHVtbjI5NSwyOTR9JnF1b3Q7LCZxdW90O1NlY3Rpb24xL21hcHBpbmdfYnVkZ2V0LVRCT193ZWlnaHRlZCAoMikvVHlwZSBnZXdpanppZ2Que0NvbHVtbjI5NiwyOTV9JnF1b3Q7LCZxdW90O1NlY3Rpb24xL21hcHBpbmdfYnVkZ2V0LVRCT193ZWlnaHRlZCAoMikvVHlwZSBnZXdpanppZ2Que0NvbHVtbjI5NywyOTZ9JnF1b3Q7LCZxdW90O1NlY3Rpb24xL21hcHBpbmdfYnVkZ2V0LVRCT193ZWlnaHRlZCAoMikvVHlwZSBnZXdpanppZ2Que0NvbHVtbjI5OCwyOTd9JnF1b3Q7LCZxdW90O1NlY3Rpb24xL21hcHBpbmdfYnVkZ2V0LVRCT193ZWlnaHRlZCAoMikvVHlwZSBnZXdpanppZ2Que0NvbHVtbjI5OSwyOTh9JnF1b3Q7LCZxdW90O1NlY3Rpb24xL21hcHBpbmdfYnVkZ2V0LVRCT193ZWlnaHRlZCAoMikvVHlwZSBnZXdpanppZ2Que0NvbHVtbjMwMCwyOTl9JnF1b3Q7LCZxdW90O1NlY3Rpb24xL21hcHBpbmdfYnVkZ2V0LVRCT193ZWlnaHRlZCAoMikvVHlwZSBnZXdpanppZ2Que0NvbHVtbjMwMSwzMDB9JnF1b3Q7LCZxdW90O1NlY3Rpb24xL21hcHBpbmdfYnVkZ2V0LVRCT193ZWlnaHRlZCAoMikvVHlwZSBnZXdpanppZ2Que0NvbHVtbjMwMiwzMDF9JnF1b3Q7LCZxdW90O1NlY3Rpb24xL21hcHBpbmdfYnVkZ2V0LVRCT193ZWlnaHRlZCAoMikvVHlwZSBnZXdpanppZ2Que0NvbHVtbjMwMywzMDJ9JnF1b3Q7LCZxdW90O1NlY3Rpb24xL21hcHBpbmdfYnVkZ2V0LVRCT193ZWlnaHRlZCAoMikvVHlwZSBnZXdpanppZ2Que0NvbHVtbjMwNCwzMDN9JnF1b3Q7LCZxdW90O1NlY3Rpb24xL21hcHBpbmdfYnVkZ2V0LVRCT193ZWlnaHRlZCAoMikvVHlwZSBnZXdpanppZ2Que0NvbHVtbjMwNSwzMDR9JnF1b3Q7LCZxdW90O1NlY3Rpb24xL21hcHBpbmdfYnVkZ2V0LVRCT193ZWlnaHRlZCAoMikvVHlwZSBnZXdpanppZ2Que0NvbHVtbjMwNiwzMDV9JnF1b3Q7LCZxdW90O1NlY3Rpb24xL21hcHBpbmdfYnVkZ2V0LVRCT193ZWlnaHRlZCAoMikvVHlwZSBnZXdpanppZ2Que0NvbHVtbjMwNywzMDZ9JnF1b3Q7LCZxdW90O1NlY3Rpb24xL21hcHBpbmdfYnVkZ2V0LVRCT193ZWlnaHRlZCAoMikvVHlwZSBnZXdpanppZ2Que0NvbHVtbjMwOCwzMDd9JnF1b3Q7LCZxdW90O1NlY3Rpb24xL21hcHBpbmdfYnVkZ2V0LVRCT193ZWlnaHRlZCAoMikvVHlwZSBnZXdpanppZ2Que0NvbHVtbjMwOSwzMDh9JnF1b3Q7LCZxdW90O1NlY3Rpb24xL21hcHBpbmdfYnVkZ2V0LVRCT193ZWlnaHRlZCAoMikvVHlwZSBnZXdpanppZ2Que0NvbHVtbjMxMCwzMDl9JnF1b3Q7LCZxdW90O1NlY3Rpb24xL21hcHBpbmdfYnVkZ2V0LVRCT193ZWlnaHRlZCAoMikvVHlwZSBnZXdpanppZ2Que0NvbHVtbjMxMSwzMTB9JnF1b3Q7LCZxdW90O1NlY3Rpb24xL21hcHBpbmdfYnVkZ2V0LVRCT193ZWlnaHRlZCAoMikvVHlwZSBnZXdpanppZ2Que0NvbHVtbjMxMiwzMTF9JnF1b3Q7LCZxdW90O1NlY3Rpb24xL21hcHBpbmdfYnVkZ2V0LVRCT193ZWlnaHRlZCAoMikvVHlwZSBnZXdpanppZ2Que0NvbHVtbjMxMywzMTJ9JnF1b3Q7LCZxdW90O1NlY3Rpb24xL21hcHBpbmdfYnVkZ2V0LVRCT193ZWlnaHRlZCAoMikvVHlwZSBnZXdpanppZ2Que0NvbHVtbjMxNCwzMTN9JnF1b3Q7LCZxdW90O1NlY3Rpb24xL21hcHBpbmdfYnVkZ2V0LVRCT193ZWlnaHRlZCAoMikvVHlwZSBnZXdpanppZ2Que0NvbHVtbjMxNSwzMTR9JnF1b3Q7LCZxdW90O1NlY3Rpb24xL21hcHBpbmdfYnVkZ2V0LVRCT193ZWlnaHRlZCAoMikvVHlwZSBnZXdpanppZ2Que0NvbHVtbjMxNiwzMTV9JnF1b3Q7LCZxdW90O1NlY3Rpb24xL21hcHBpbmdfYnVkZ2V0LVRCT193ZWlnaHRlZCAoMikvVHlwZSBnZXdpanppZ2Que0NvbHVtbjMxNywzMTZ9JnF1b3Q7XSwmcXVvdDtSZWxhdGlvbnNoaXBJbmZvJnF1b3Q7OltdfSIgLz48L1N0YWJsZUVudHJpZXM+PC9JdGVtPjxJdGVtPjxJdGVtTG9jYXRpb24+PEl0ZW1UeXBlPkZvcm11bGE8L0l0ZW1UeXBlPjxJdGVtUGF0aD5TZWN0aW9uMS9tYXBwaW5nX2J1ZGdldC1UQk9fd2VpZ2h0ZWQlMjAoMikvQnJvbjwvSXRlbVBhdGg+PC9JdGVtTG9jYXRpb24+PFN0YWJsZUVudHJpZXMgLz48L0l0ZW0+PEl0ZW0+PEl0ZW1Mb2NhdGlvbj48SXRlbVR5cGU+Rm9ybXVsYTwvSXRlbVR5cGU+PEl0ZW1QYXRoPlNlY3Rpb24xL21hcHBpbmdfYnVkZ2V0LVRCT193ZWlnaHRlZCUyMCgyKS9UeXBlJTIwZ2V3aWp6aWdkPC9JdGVtUGF0aD48L0l0ZW1Mb2NhdGlvbj48U3RhYmxlRW50cmllcyAvPjwvSXRlbT48SXRlbT48SXRlbUxvY2F0aW9uPjxJdGVtVHlwZT5Gb3JtdWxhPC9JdGVtVHlwZT48SXRlbVBhdGg+U2VjdGlvbjEvbWFwcGluZ19idWRnZXQtVEJPX3dlaWdodGVkJTIwKDMp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RXhjZXB0aW9uIiAvPjxFbnRyeSBUeXBlPSJOYW1lVXBkYXRlZEFmdGVyRmlsbCIgVmFsdWU9ImwwIiAvPjxFbnRyeSBUeXBlPSJGaWxsZWRDb21wbGV0ZVJlc3VsdFRvV29ya3NoZWV0IiBWYWx1ZT0ibDEiIC8+PEVudHJ5IFR5cGU9IlJlY292ZXJ5VGFyZ2V0U2hlZXQiIFZhbHVlPSJzQmxhZDEiIC8+PEVudHJ5IFR5cGU9IlJlY292ZXJ5VGFyZ2V0Q29sdW1uIiBWYWx1ZT0ibDEiIC8+PEVudHJ5IFR5cGU9IlJlY292ZXJ5VGFyZ2V0Um93IiBWYWx1ZT0ibDEiIC8+PEVudHJ5IFR5cGU9IkFkZGVkVG9EYXRhTW9kZWwiIFZhbHVlPSJsMCIgLz48RW50cnkgVHlwZT0iRmlsbENvdW50IiBWYWx1ZT0ibDE1NyIgLz48RW50cnkgVHlwZT0iRmlsbEVycm9yQ29kZSIgVmFsdWU9InNVbmtub3duIiAvPjxFbnRyeSBUeXBlPSJGaWxsRXJyb3JDb3VudCIgVmFsdWU9ImwwIiAvPjxFbnRyeSBUeXBlPSJGaWxsTGFzdFVwZGF0ZWQiIFZhbHVlPSJkMjAyNC0wNi0wNlQwOTo1ODozOS43NDkxNTY5WiIgLz48RW50cnkgVHlwZT0iRmlsbENvbHVtblR5cGVzIiBWYWx1ZT0ic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T0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ssJnF1b3Q7Q29sdW1uMTAmcXVvdDssJnF1b3Q7Q29sdW1uMTEmcXVvdDssJnF1b3Q7Q29sdW1uMTImcXVvdDssJnF1b3Q7Q29sdW1uMTMmcXVvdDssJnF1b3Q7Q29sdW1uMTQmcXVvdDssJnF1b3Q7Q29sdW1uMTUmcXVvdDssJnF1b3Q7Q29sdW1uMTYmcXVvdDssJnF1b3Q7Q29sdW1uMTcmcXVvdDssJnF1b3Q7Q29sdW1uMTgmcXVvdDssJnF1b3Q7Q29sdW1uMTkmcXVvdDssJnF1b3Q7Q29sdW1uMjAmcXVvdDssJnF1b3Q7Q29sdW1uMjEmcXVvdDssJnF1b3Q7Q29sdW1uMjImcXVvdDssJnF1b3Q7Q29sdW1uMjMmcXVvdDssJnF1b3Q7Q29sdW1uMjQmcXVvdDssJnF1b3Q7Q29sdW1uMjUmcXVvdDssJnF1b3Q7Q29sdW1uMjYmcXVvdDssJnF1b3Q7Q29sdW1uMjcmcXVvdDssJnF1b3Q7Q29sdW1uMjgmcXVvdDssJnF1b3Q7Q29sdW1uMjkmcXVvdDssJnF1b3Q7Q29sdW1uMzAmcXVvdDssJnF1b3Q7Q29sdW1uMzEmcXVvdDssJnF1b3Q7Q29sdW1uMzImcXVvdDssJnF1b3Q7Q29sdW1uMzMmcXVvdDssJnF1b3Q7Q29sdW1uMzQmcXVvdDssJnF1b3Q7Q29sdW1uMzUmcXVvdDssJnF1b3Q7Q29sdW1uMzYmcXVvdDssJnF1b3Q7Q29sdW1uMzcmcXVvdDssJnF1b3Q7Q29sdW1uMzgmcXVvdDssJnF1b3Q7Q29sdW1uMzkmcXVvdDssJnF1b3Q7Q29sdW1uNDAmcXVvdDssJnF1b3Q7Q29sdW1uNDEmcXVvdDssJnF1b3Q7Q29sdW1uNDImcXVvdDssJnF1b3Q7Q29sdW1uNDMmcXVvdDssJnF1b3Q7Q29sdW1uNDQmcXVvdDssJnF1b3Q7Q29sdW1uNDUmcXVvdDssJnF1b3Q7Q29sdW1uNDYmcXVvdDssJnF1b3Q7Q29sdW1uNDcmcXVvdDssJnF1b3Q7Q29sdW1uNDgmcXVvdDssJnF1b3Q7Q29sdW1uNDkmcXVvdDssJnF1b3Q7Q29sdW1uNTAmcXVvdDssJnF1b3Q7Q29sdW1uNTEmcXVvdDssJnF1b3Q7Q29sdW1uNTImcXVvdDssJnF1b3Q7Q29sdW1uNTMmcXVvdDssJnF1b3Q7Q29sdW1uNTQmcXVvdDssJnF1b3Q7Q29sdW1uNTUmcXVvdDssJnF1b3Q7Q29sdW1uNTYmcXVvdDssJnF1b3Q7Q29sdW1uNTcmcXVvdDssJnF1b3Q7Q29sdW1uNTgmcXVvdDssJnF1b3Q7Q29sdW1uNTkmcXVvdDssJnF1b3Q7Q29sdW1uNjAmcXVvdDssJnF1b3Q7Q29sdW1uNjEmcXVvdDssJnF1b3Q7Q29sdW1uNjImcXVvdDssJnF1b3Q7Q29sdW1uNjMmcXVvdDssJnF1b3Q7Q29sdW1uNjQmcXVvdDssJnF1b3Q7Q29sdW1uNjUmcXVvdDssJnF1b3Q7Q29sdW1uNjYmcXVvdDssJnF1b3Q7Q29sdW1uNjcmcXVvdDssJnF1b3Q7Q29sdW1uNjgmcXVvdDssJnF1b3Q7Q29sdW1uNjkmcXVvdDssJnF1b3Q7Q29sdW1uNzAmcXVvdDssJnF1b3Q7Q29sdW1uNzEmcXVvdDssJnF1b3Q7Q29sdW1uNzImcXVvdDssJnF1b3Q7Q29sdW1uNzMmcXVvdDssJnF1b3Q7Q29sdW1uNzQmcXVvdDssJnF1b3Q7Q29sdW1uNzUmcXVvdDssJnF1b3Q7Q29sdW1uNzYmcXVvdDssJnF1b3Q7Q29sdW1uNzcmcXVvdDssJnF1b3Q7Q29sdW1uNzgmcXVvdDssJnF1b3Q7Q29sdW1uNzkmcXVvdDssJnF1b3Q7Q29sdW1uODAmcXVvdDssJnF1b3Q7Q29sdW1uODEmcXVvdDssJnF1b3Q7Q29sdW1uODImcXVvdDssJnF1b3Q7Q29sdW1uODMmcXVvdDssJnF1b3Q7Q29sdW1uODQmcXVvdDssJnF1b3Q7Q29sdW1uODUmcXVvdDssJnF1b3Q7Q29sdW1uODYmcXVvdDssJnF1b3Q7Q29sdW1uODcmcXVvdDssJnF1b3Q7Q29sdW1uODgmcXVvdDssJnF1b3Q7Q29sdW1uODkmcXVvdDssJnF1b3Q7Q29sdW1uOTAmcXVvdDssJnF1b3Q7Q29sdW1uOTEmcXVvdDssJnF1b3Q7Q29sdW1uOTImcXVvdDssJnF1b3Q7Q29sdW1uOTMmcXVvdDssJnF1b3Q7Q29sdW1uOTQmcXVvdDssJnF1b3Q7Q29sdW1uOTUmcXVvdDssJnF1b3Q7Q29sdW1uOTYmcXVvdDssJnF1b3Q7Q29sdW1uOTcmcXVvdDssJnF1b3Q7Q29sdW1uOTgmcXVvdDssJnF1b3Q7Q29sdW1uOTkmcXVvdDssJnF1b3Q7Q29sdW1uMTAwJnF1b3Q7LCZxdW90O0NvbHVtbjEwMSZxdW90OywmcXVvdDtDb2x1bW4xMDImcXVvdDssJnF1b3Q7Q29sdW1uMTAzJnF1b3Q7LCZxdW90O0NvbHVtbjEwNCZxdW90OywmcXVvdDtDb2x1bW4xMDUmcXVvdDssJnF1b3Q7Q29sdW1uMTA2JnF1b3Q7LCZxdW90O0NvbHVtbjEwNyZxdW90OywmcXVvdDtDb2x1bW4xMDgmcXVvdDssJnF1b3Q7Q29sdW1uMTA5JnF1b3Q7LCZxdW90O0NvbHVtbjExMCZxdW90OywmcXVvdDtDb2x1bW4xMTEmcXVvdDssJnF1b3Q7Q29sdW1uMTEyJnF1b3Q7LCZxdW90O0NvbHVtbjExMyZxdW90OywmcXVvdDtDb2x1bW4xMTQmcXVvdDssJnF1b3Q7Q29sdW1uMTE1JnF1b3Q7LCZxdW90O0NvbHVtbjExNiZxdW90OywmcXVvdDtDb2x1bW4xMTcmcXVvdDssJnF1b3Q7Q29sdW1uMTE4JnF1b3Q7LCZxdW90O0NvbHVtbjExOSZxdW90OywmcXVvdDtDb2x1bW4xMjAmcXVvdDssJnF1b3Q7Q29sdW1uMTIxJnF1b3Q7LCZxdW90O0NvbHVtbjEyMiZxdW90OywmcXVvdDtDb2x1bW4xMjMmcXVvdDssJnF1b3Q7Q29sdW1uMTI0JnF1b3Q7LCZxdW90O0NvbHVtbjEyNSZxdW90OywmcXVvdDtDb2x1bW4xMjYmcXVvdDssJnF1b3Q7Q29sdW1uMTI3JnF1b3Q7LCZxdW90O0NvbHVtbjEyOCZxdW90OywmcXVvdDtDb2x1bW4xMjkmcXVvdDssJnF1b3Q7Q29sdW1uMTMwJnF1b3Q7LCZxdW90O0NvbHVtbjEzMSZxdW90OywmcXVvdDtDb2x1bW4xMzImcXVvdDssJnF1b3Q7Q29sdW1uMTMzJnF1b3Q7LCZxdW90O0NvbHVtbjEzNCZxdW90OywmcXVvdDtDb2x1bW4xMzUmcXVvdDssJnF1b3Q7Q29sdW1uMTM2JnF1b3Q7LCZxdW90O0NvbHVtbjEzNyZxdW90OywmcXVvdDtDb2x1bW4xMzgmcXVvdDssJnF1b3Q7Q29sdW1uMTM5JnF1b3Q7LCZxdW90O0NvbHVtbjE0MCZxdW90OywmcXVvdDtDb2x1bW4xNDEmcXVvdDssJnF1b3Q7Q29sdW1uMTQyJnF1b3Q7LCZxdW90O0NvbHVtbjE0MyZxdW90OywmcXVvdDtDb2x1bW4xNDQmcXVvdDssJnF1b3Q7Q29sdW1uMTQ1JnF1b3Q7LCZxdW90O0NvbHVtbjE0NiZxdW90OywmcXVvdDtDb2x1bW4xNDcmcXVvdDssJnF1b3Q7Q29sdW1uMTQ4JnF1b3Q7LCZxdW90O0NvbHVtbjE0OSZxdW90OywmcXVvdDtDb2x1bW4xNTAmcXVvdDssJnF1b3Q7Q29sdW1uMTUxJnF1b3Q7LCZxdW90O0NvbHVtbjE1MiZxdW90OywmcXVvdDtDb2x1bW4xNTMmcXVvdDssJnF1b3Q7Q29sdW1uMTU0JnF1b3Q7LCZxdW90O0NvbHVtbjE1NSZxdW90OywmcXVvdDtDb2x1bW4xNTYmcXVvdDssJnF1b3Q7Q29sdW1uMTU3JnF1b3Q7LCZxdW90O0NvbHVtbjE1OCZxdW90OywmcXVvdDtDb2x1bW4xNTkmcXVvdDssJnF1b3Q7Q29sdW1uMTYwJnF1b3Q7LCZxdW90O0NvbHVtbjE2MSZxdW90OywmcXVvdDtDb2x1bW4xNjImcXVvdDssJnF1b3Q7Q29sdW1uMTYzJnF1b3Q7LCZxdW90O0NvbHVtbjE2NCZxdW90OywmcXVvdDtDb2x1bW4xNjUmcXVvdDssJnF1b3Q7Q29sdW1uMTY2JnF1b3Q7LCZxdW90O0NvbHVtbjE2NyZxdW90OywmcXVvdDtDb2x1bW4xNjgmcXVvdDssJnF1b3Q7Q29sdW1uMTY5JnF1b3Q7LCZxdW90O0NvbHVtbjE3MCZxdW90OywmcXVvdDtDb2x1bW4xNzEmcXVvdDssJnF1b3Q7Q29sdW1uMTcyJnF1b3Q7LCZxdW90O0NvbHVtbjE3MyZxdW90OywmcXVvdDtDb2x1bW4xNzQmcXVvdDssJnF1b3Q7Q29sdW1uMTc1JnF1b3Q7LCZxdW90O0NvbHVtbjE3NiZxdW90OywmcXVvdDtDb2x1bW4xNzcmcXVvdDssJnF1b3Q7Q29sdW1uMTc4JnF1b3Q7LCZxdW90O0NvbHVtbjE3OSZxdW90OywmcXVvdDtDb2x1bW4xODAmcXVvdDssJnF1b3Q7Q29sdW1uMTgxJnF1b3Q7LCZxdW90O0NvbHVtbjE4MiZxdW90OywmcXVvdDtDb2x1bW4xODMmcXVvdDssJnF1b3Q7Q29sdW1uMTg0JnF1b3Q7LCZxdW90O0NvbHVtbjE4NSZxdW90OywmcXVvdDtDb2x1bW4xODYmcXVvdDssJnF1b3Q7Q29sdW1uMTg3JnF1b3Q7LCZxdW90O0NvbHVtbjE4OCZxdW90OywmcXVvdDtDb2x1bW4xODkmcXVvdDssJnF1b3Q7Q29sdW1uMTkwJnF1b3Q7LCZxdW90O0NvbHVtbjE5MSZxdW90OywmcXVvdDtDb2x1bW4xOTImcXVvdDssJnF1b3Q7Q29sdW1uMTkzJnF1b3Q7LCZxdW90O0NvbHVtbjE5NCZxdW90OywmcXVvdDtDb2x1bW4xOTUmcXVvdDssJnF1b3Q7Q29sdW1uMTk2JnF1b3Q7LCZxdW90O0NvbHVtbjE5NyZxdW90OywmcXVvdDtDb2x1bW4xOTgmcXVvdDssJnF1b3Q7Q29sdW1uMTk5JnF1b3Q7LCZxdW90O0NvbHVtbjIwMCZxdW90OywmcXVvdDtDb2x1bW4yMDEmcXVvdDssJnF1b3Q7Q29sdW1uMjAyJnF1b3Q7LCZxdW90O0NvbHVtbjIwMyZxdW90OywmcXVvdDtDb2x1bW4yMDQmcXVvdDssJnF1b3Q7Q29sdW1uMjA1JnF1b3Q7LCZxdW90O0NvbHVtbjIwNiZxdW90OywmcXVvdDtDb2x1bW4yMDcmcXVvdDssJnF1b3Q7Q29sdW1uMjA4JnF1b3Q7LCZxdW90O0NvbHVtbjIwOSZxdW90OywmcXVvdDtDb2x1bW4yMTAmcXVvdDssJnF1b3Q7Q29sdW1uMjExJnF1b3Q7LCZxdW90O0NvbHVtbjIxMiZxdW90OywmcXVvdDtDb2x1bW4yMTMmcXVvdDssJnF1b3Q7Q29sdW1uMjE0JnF1b3Q7LCZxdW90O0NvbHVtbjIxNSZxdW90OywmcXVvdDtDb2x1bW4yMTYmcXVvdDssJnF1b3Q7Q29sdW1uMjE3JnF1b3Q7LCZxdW90O0NvbHVtbjIxOCZxdW90OywmcXVvdDtDb2x1bW4yMTkmcXVvdDssJnF1b3Q7Q29sdW1uMjIwJnF1b3Q7LCZxdW90O0NvbHVtbjIyMSZxdW90OywmcXVvdDtDb2x1bW4yMjImcXVvdDssJnF1b3Q7Q29sdW1uMjIzJnF1b3Q7LCZxdW90O0NvbHVtbjIyNCZxdW90OywmcXVvdDtDb2x1bW4yMjUmcXVvdDssJnF1b3Q7Q29sdW1uMjI2JnF1b3Q7LCZxdW90O0NvbHVtbjIyNyZxdW90OywmcXVvdDtDb2x1bW4yMjgmcXVvdDssJnF1b3Q7Q29sdW1uMjI5JnF1b3Q7LCZxdW90O0NvbHVtbjIzMCZxdW90OywmcXVvdDtDb2x1bW4yMzEmcXVvdDssJnF1b3Q7Q29sdW1uMjMyJnF1b3Q7LCZxdW90O0NvbHVtbjIzMyZxdW90OywmcXVvdDtDb2x1bW4yMzQmcXVvdDssJnF1b3Q7Q29sdW1uMjM1JnF1b3Q7LCZxdW90O0NvbHVtbjIzNiZxdW90OywmcXVvdDtDb2x1bW4yMzcmcXVvdDssJnF1b3Q7Q29sdW1uMjM4JnF1b3Q7LCZxdW90O0NvbHVtbjIzOSZxdW90OywmcXVvdDtDb2x1bW4yNDAmcXVvdDssJnF1b3Q7Q29sdW1uMjQxJnF1b3Q7LCZxdW90O0NvbHVtbjI0MiZxdW90OywmcXVvdDtDb2x1bW4yNDMmcXVvdDssJnF1b3Q7Q29sdW1uMjQ0JnF1b3Q7LCZxdW90O0NvbHVtbjI0NSZxdW90OywmcXVvdDtDb2x1bW4yNDYmcXVvdDssJnF1b3Q7Q29sdW1uMjQ3JnF1b3Q7LCZxdW90O0NvbHVtbjI0OCZxdW90OywmcXVvdDtDb2x1bW4yNDkmcXVvdDssJnF1b3Q7Q29sdW1uMjUwJnF1b3Q7LCZxdW90O0NvbHVtbjI1MSZxdW90OywmcXVvdDtDb2x1bW4yNTImcXVvdDssJnF1b3Q7Q29sdW1uMjUzJnF1b3Q7LCZxdW90O0NvbHVtbjI1NCZxdW90OywmcXVvdDtDb2x1bW4yNTUmcXVvdDssJnF1b3Q7Q29sdW1uMjU2JnF1b3Q7LCZxdW90O0NvbHVtbjI1NyZxdW90OywmcXVvdDtDb2x1bW4yNTgmcXVvdDssJnF1b3Q7Q29sdW1uMjU5JnF1b3Q7LCZxdW90O0NvbHVtbjI2MCZxdW90OywmcXVvdDtDb2x1bW4yNjEmcXVvdDssJnF1b3Q7Q29sdW1uMjYyJnF1b3Q7LCZxdW90O0NvbHVtbjI2MyZxdW90OywmcXVvdDtDb2x1bW4yNjQmcXVvdDssJnF1b3Q7Q29sdW1uMjY1JnF1b3Q7LCZxdW90O0NvbHVtbjI2NiZxdW90OywmcXVvdDtDb2x1bW4yNjcmcXVvdDssJnF1b3Q7Q29sdW1uMjY4JnF1b3Q7LCZxdW90O0NvbHVtbjI2OSZxdW90OywmcXVvdDtDb2x1bW4yNzAmcXVvdDssJnF1b3Q7Q29sdW1uMjcxJnF1b3Q7LCZxdW90O0NvbHVtbjI3MiZxdW90OywmcXVvdDtDb2x1bW4yNzMmcXVvdDssJnF1b3Q7Q29sdW1uMjc0JnF1b3Q7LCZxdW90O0NvbHVtbjI3NSZxdW90OywmcXVvdDtDb2x1bW4yNzYmcXVvdDssJnF1b3Q7Q29sdW1uMjc3JnF1b3Q7LCZxdW90O0NvbHVtbjI3OCZxdW90OywmcXVvdDtDb2x1bW4yNzkmcXVvdDssJnF1b3Q7Q29sdW1uMjgwJnF1b3Q7LCZxdW90O0NvbHVtbjI4MSZxdW90OywmcXVvdDtDb2x1bW4yODImcXVvdDssJnF1b3Q7Q29sdW1uMjgzJnF1b3Q7LCZxdW90O0NvbHVtbjI4NCZxdW90OywmcXVvdDtDb2x1bW4yODUmcXVvdDssJnF1b3Q7Q29sdW1uMjg2JnF1b3Q7LCZxdW90O0NvbHVtbjI4NyZxdW90OywmcXVvdDtDb2x1bW4yODgmcXVvdDssJnF1b3Q7Q29sdW1uMjg5JnF1b3Q7LCZxdW90O0NvbHVtbjI5MCZxdW90OywmcXVvdDtDb2x1bW4yOTEmcXVvdDssJnF1b3Q7Q29sdW1uMjkyJnF1b3Q7LCZxdW90O0NvbHVtbjI5MyZxdW90OywmcXVvdDtDb2x1bW4yOTQmcXVvdDssJnF1b3Q7Q29sdW1uMjk1JnF1b3Q7LCZxdW90O0NvbHVtbjI5NiZxdW90OywmcXVvdDtDb2x1bW4yOTcmcXVvdDssJnF1b3Q7Q29sdW1uMjk4JnF1b3Q7LCZxdW90O0NvbHVtbjI5OSZxdW90OywmcXVvdDtDb2x1bW4zMDAmcXVvdDssJnF1b3Q7Q29sdW1uMzAxJnF1b3Q7LCZxdW90O0NvbHVtbjMwMiZxdW90OywmcXVvdDtDb2x1bW4zMDMmcXVvdDssJnF1b3Q7Q29sdW1uMzA0JnF1b3Q7LCZxdW90O0NvbHVtbjMwNSZxdW90OywmcXVvdDtDb2x1bW4zMDYmcXVvdDssJnF1b3Q7Q29sdW1uMzA3JnF1b3Q7LCZxdW90O0NvbHVtbjMwOCZxdW90OywmcXVvdDtDb2x1bW4zMDkmcXVvdDssJnF1b3Q7Q29sdW1uMzEwJnF1b3Q7LCZxdW90O0NvbHVtbjMxMSZxdW90OywmcXVvdDtDb2x1bW4zMTImcXVvdDssJnF1b3Q7Q29sdW1uMzEzJnF1b3Q7LCZxdW90O0NvbHVtbjMxNCZxdW90OywmcXVvdDtDb2x1bW4zMTUmcXVvdDssJnF1b3Q7Q29sdW1uMzE2JnF1b3Q7LCZxdW90O0NvbHVtbjMxNyZxdW90O10iIC8+PEVudHJ5IFR5cGU9IkZpbGxTdGF0dXMiIFZhbHVlPSJzQ29tcGxldGUiIC8+PEVudHJ5IFR5cGU9IlJlbGF0aW9uc2hpcEluZm9Db250YWluZXIiIFZhbHVlPSJzeyZxdW90O2NvbHVtbkNvdW50JnF1b3Q7OjMxNywmcXVvdDtrZXlDb2x1bW5OYW1lcyZxdW90OzpbXSwmcXVvdDtxdWVyeVJlbGF0aW9uc2hpcHMmcXVvdDs6W10sJnF1b3Q7Y29sdW1uSWRlbnRpdGllcyZxdW90OzpbJnF1b3Q7U2VjdGlvbjEvbWFwcGluZ19idWRnZXQtVEJPX3dlaWdodGVkICgzKS9UeXBlIGdld2lqemlnZC57Q29sdW1uMSwwfSZxdW90OywmcXVvdDtTZWN0aW9uMS9tYXBwaW5nX2J1ZGdldC1UQk9fd2VpZ2h0ZWQgKDMpL1R5cGUgZ2V3aWp6aWdkLntDb2x1bW4yLDF9JnF1b3Q7LCZxdW90O1NlY3Rpb24xL21hcHBpbmdfYnVkZ2V0LVRCT193ZWlnaHRlZCAoMykvVHlwZSBnZXdpanppZ2Que0NvbHVtbjMsMn0mcXVvdDssJnF1b3Q7U2VjdGlvbjEvbWFwcGluZ19idWRnZXQtVEJPX3dlaWdodGVkICgzKS9UeXBlIGdld2lqemlnZC57Q29sdW1uNCwzfSZxdW90OywmcXVvdDtTZWN0aW9uMS9tYXBwaW5nX2J1ZGdldC1UQk9fd2VpZ2h0ZWQgKDMpL1R5cGUgZ2V3aWp6aWdkLntDb2x1bW41LDR9JnF1b3Q7LCZxdW90O1NlY3Rpb24xL21hcHBpbmdfYnVkZ2V0LVRCT193ZWlnaHRlZCAoMykvVHlwZSBnZXdpanppZ2Que0NvbHVtbjYsNX0mcXVvdDssJnF1b3Q7U2VjdGlvbjEvbWFwcGluZ19idWRnZXQtVEJPX3dlaWdodGVkICgzKS9UeXBlIGdld2lqemlnZC57Q29sdW1uNyw2fSZxdW90OywmcXVvdDtTZWN0aW9uMS9tYXBwaW5nX2J1ZGdldC1UQk9fd2VpZ2h0ZWQgKDMpL1R5cGUgZ2V3aWp6aWdkLntDb2x1bW44LDd9JnF1b3Q7LCZxdW90O1NlY3Rpb24xL21hcHBpbmdfYnVkZ2V0LVRCT193ZWlnaHRlZCAoMykvVHlwZSBnZXdpanppZ2Que0NvbHVtbjksOH0mcXVvdDssJnF1b3Q7U2VjdGlvbjEvbWFwcGluZ19idWRnZXQtVEJPX3dlaWdodGVkICgzKS9UeXBlIGdld2lqemlnZC57Q29sdW1uMTAsOX0mcXVvdDssJnF1b3Q7U2VjdGlvbjEvbWFwcGluZ19idWRnZXQtVEJPX3dlaWdodGVkICgzKS9UeXBlIGdld2lqemlnZC57Q29sdW1uMTEsMTB9JnF1b3Q7LCZxdW90O1NlY3Rpb24xL21hcHBpbmdfYnVkZ2V0LVRCT193ZWlnaHRlZCAoMykvVHlwZSBnZXdpanppZ2Que0NvbHVtbjEyLDExfSZxdW90OywmcXVvdDtTZWN0aW9uMS9tYXBwaW5nX2J1ZGdldC1UQk9fd2VpZ2h0ZWQgKDMpL1R5cGUgZ2V3aWp6aWdkLntDb2x1bW4xMywxMn0mcXVvdDssJnF1b3Q7U2VjdGlvbjEvbWFwcGluZ19idWRnZXQtVEJPX3dlaWdodGVkICgzKS9UeXBlIGdld2lqemlnZC57Q29sdW1uMTQsMTN9JnF1b3Q7LCZxdW90O1NlY3Rpb24xL21hcHBpbmdfYnVkZ2V0LVRCT193ZWlnaHRlZCAoMykvVHlwZSBnZXdpanppZ2Que0NvbHVtbjE1LDE0fSZxdW90OywmcXVvdDtTZWN0aW9uMS9tYXBwaW5nX2J1ZGdldC1UQk9fd2VpZ2h0ZWQgKDMpL1R5cGUgZ2V3aWp6aWdkLntDb2x1bW4xNiwxNX0mcXVvdDssJnF1b3Q7U2VjdGlvbjEvbWFwcGluZ19idWRnZXQtVEJPX3dlaWdodGVkICgzKS9UeXBlIGdld2lqemlnZC57Q29sdW1uMTcsMTZ9JnF1b3Q7LCZxdW90O1NlY3Rpb24xL21hcHBpbmdfYnVkZ2V0LVRCT193ZWlnaHRlZCAoMykvVHlwZSBnZXdpanppZ2Que0NvbHVtbjE4LDE3fSZxdW90OywmcXVvdDtTZWN0aW9uMS9tYXBwaW5nX2J1ZGdldC1UQk9fd2VpZ2h0ZWQgKDMpL1R5cGUgZ2V3aWp6aWdkLntDb2x1bW4xOSwxOH0mcXVvdDssJnF1b3Q7U2VjdGlvbjEvbWFwcGluZ19idWRnZXQtVEJPX3dlaWdodGVkICgzKS9UeXBlIGdld2lqemlnZC57Q29sdW1uMjAsMTl9JnF1b3Q7LCZxdW90O1NlY3Rpb24xL21hcHBpbmdfYnVkZ2V0LVRCT193ZWlnaHRlZCAoMykvVHlwZSBnZXdpanppZ2Que0NvbHVtbjIxLDIwfSZxdW90OywmcXVvdDtTZWN0aW9uMS9tYXBwaW5nX2J1ZGdldC1UQk9fd2VpZ2h0ZWQgKDMpL1R5cGUgZ2V3aWp6aWdkLntDb2x1bW4yMiwyMX0mcXVvdDssJnF1b3Q7U2VjdGlvbjEvbWFwcGluZ19idWRnZXQtVEJPX3dlaWdodGVkICgzKS9UeXBlIGdld2lqemlnZC57Q29sdW1uMjMsMjJ9JnF1b3Q7LCZxdW90O1NlY3Rpb24xL21hcHBpbmdfYnVkZ2V0LVRCT193ZWlnaHRlZCAoMykvVHlwZSBnZXdpanppZ2Que0NvbHVtbjI0LDIzfSZxdW90OywmcXVvdDtTZWN0aW9uMS9tYXBwaW5nX2J1ZGdldC1UQk9fd2VpZ2h0ZWQgKDMpL1R5cGUgZ2V3aWp6aWdkLntDb2x1bW4yNSwyNH0mcXVvdDssJnF1b3Q7U2VjdGlvbjEvbWFwcGluZ19idWRnZXQtVEJPX3dlaWdodGVkICgzKS9UeXBlIGdld2lqemlnZC57Q29sdW1uMjYsMjV9JnF1b3Q7LCZxdW90O1NlY3Rpb24xL21hcHBpbmdfYnVkZ2V0LVRCT193ZWlnaHRlZCAoMykvVHlwZSBnZXdpanppZ2Que0NvbHVtbjI3LDI2fSZxdW90OywmcXVvdDtTZWN0aW9uMS9tYXBwaW5nX2J1ZGdldC1UQk9fd2VpZ2h0ZWQgKDMpL1R5cGUgZ2V3aWp6aWdkLntDb2x1bW4yOCwyN30mcXVvdDssJnF1b3Q7U2VjdGlvbjEvbWFwcGluZ19idWRnZXQtVEJPX3dlaWdodGVkICgzKS9UeXBlIGdld2lqemlnZC57Q29sdW1uMjksMjh9JnF1b3Q7LCZxdW90O1NlY3Rpb24xL21hcHBpbmdfYnVkZ2V0LVRCT193ZWlnaHRlZCAoMykvVHlwZSBnZXdpanppZ2Que0NvbHVtbjMwLDI5fSZxdW90OywmcXVvdDtTZWN0aW9uMS9tYXBwaW5nX2J1ZGdldC1UQk9fd2VpZ2h0ZWQgKDMpL1R5cGUgZ2V3aWp6aWdkLntDb2x1bW4zMSwzMH0mcXVvdDssJnF1b3Q7U2VjdGlvbjEvbWFwcGluZ19idWRnZXQtVEJPX3dlaWdodGVkICgzKS9UeXBlIGdld2lqemlnZC57Q29sdW1uMzIsMzF9JnF1b3Q7LCZxdW90O1NlY3Rpb24xL21hcHBpbmdfYnVkZ2V0LVRCT193ZWlnaHRlZCAoMykvVHlwZSBnZXdpanppZ2Que0NvbHVtbjMzLDMyfSZxdW90OywmcXVvdDtTZWN0aW9uMS9tYXBwaW5nX2J1ZGdldC1UQk9fd2VpZ2h0ZWQgKDMpL1R5cGUgZ2V3aWp6aWdkLntDb2x1bW4zNCwzM30mcXVvdDssJnF1b3Q7U2VjdGlvbjEvbWFwcGluZ19idWRnZXQtVEJPX3dlaWdodGVkICgzKS9UeXBlIGdld2lqemlnZC57Q29sdW1uMzUsMzR9JnF1b3Q7LCZxdW90O1NlY3Rpb24xL21hcHBpbmdfYnVkZ2V0LVRCT193ZWlnaHRlZCAoMykvVHlwZSBnZXdpanppZ2Que0NvbHVtbjM2LDM1fSZxdW90OywmcXVvdDtTZWN0aW9uMS9tYXBwaW5nX2J1ZGdldC1UQk9fd2VpZ2h0ZWQgKDMpL1R5cGUgZ2V3aWp6aWdkLntDb2x1bW4zNywzNn0mcXVvdDssJnF1b3Q7U2VjdGlvbjEvbWFwcGluZ19idWRnZXQtVEJPX3dlaWdodGVkICgzKS9UeXBlIGdld2lqemlnZC57Q29sdW1uMzgsMzd9JnF1b3Q7LCZxdW90O1NlY3Rpb24xL21hcHBpbmdfYnVkZ2V0LVRCT193ZWlnaHRlZCAoMykvVHlwZSBnZXdpanppZ2Que0NvbHVtbjM5LDM4fSZxdW90OywmcXVvdDtTZWN0aW9uMS9tYXBwaW5nX2J1ZGdldC1UQk9fd2VpZ2h0ZWQgKDMpL1R5cGUgZ2V3aWp6aWdkLntDb2x1bW40MCwzOX0mcXVvdDssJnF1b3Q7U2VjdGlvbjEvbWFwcGluZ19idWRnZXQtVEJPX3dlaWdodGVkICgzKS9UeXBlIGdld2lqemlnZC57Q29sdW1uNDEsNDB9JnF1b3Q7LCZxdW90O1NlY3Rpb24xL21hcHBpbmdfYnVkZ2V0LVRCT193ZWlnaHRlZCAoMykvVHlwZSBnZXdpanppZ2Que0NvbHVtbjQyLDQxfSZxdW90OywmcXVvdDtTZWN0aW9uMS9tYXBwaW5nX2J1ZGdldC1UQk9fd2VpZ2h0ZWQgKDMpL1R5cGUgZ2V3aWp6aWdkLntDb2x1bW40Myw0Mn0mcXVvdDssJnF1b3Q7U2VjdGlvbjEvbWFwcGluZ19idWRnZXQtVEJPX3dlaWdodGVkICgzKS9UeXBlIGdld2lqemlnZC57Q29sdW1uNDQsNDN9JnF1b3Q7LCZxdW90O1NlY3Rpb24xL21hcHBpbmdfYnVkZ2V0LVRCT193ZWlnaHRlZCAoMykvVHlwZSBnZXdpanppZ2Que0NvbHVtbjQ1LDQ0fSZxdW90OywmcXVvdDtTZWN0aW9uMS9tYXBwaW5nX2J1ZGdldC1UQk9fd2VpZ2h0ZWQgKDMpL1R5cGUgZ2V3aWp6aWdkLntDb2x1bW40Niw0NX0mcXVvdDssJnF1b3Q7U2VjdGlvbjEvbWFwcGluZ19idWRnZXQtVEJPX3dlaWdodGVkICgzKS9UeXBlIGdld2lqemlnZC57Q29sdW1uNDcsNDZ9JnF1b3Q7LCZxdW90O1NlY3Rpb24xL21hcHBpbmdfYnVkZ2V0LVRCT193ZWlnaHRlZCAoMykvVHlwZSBnZXdpanppZ2Que0NvbHVtbjQ4LDQ3fSZxdW90OywmcXVvdDtTZWN0aW9uMS9tYXBwaW5nX2J1ZGdldC1UQk9fd2VpZ2h0ZWQgKDMpL1R5cGUgZ2V3aWp6aWdkLntDb2x1bW40OSw0OH0mcXVvdDssJnF1b3Q7U2VjdGlvbjEvbWFwcGluZ19idWRnZXQtVEJPX3dlaWdodGVkICgzKS9UeXBlIGdld2lqemlnZC57Q29sdW1uNTAsNDl9JnF1b3Q7LCZxdW90O1NlY3Rpb24xL21hcHBpbmdfYnVkZ2V0LVRCT193ZWlnaHRlZCAoMykvVHlwZSBnZXdpanppZ2Que0NvbHVtbjUxLDUwfSZxdW90OywmcXVvdDtTZWN0aW9uMS9tYXBwaW5nX2J1ZGdldC1UQk9fd2VpZ2h0ZWQgKDMpL1R5cGUgZ2V3aWp6aWdkLntDb2x1bW41Miw1MX0mcXVvdDssJnF1b3Q7U2VjdGlvbjEvbWFwcGluZ19idWRnZXQtVEJPX3dlaWdodGVkICgzKS9UeXBlIGdld2lqemlnZC57Q29sdW1uNTMsNTJ9JnF1b3Q7LCZxdW90O1NlY3Rpb24xL21hcHBpbmdfYnVkZ2V0LVRCT193ZWlnaHRlZCAoMykvVHlwZSBnZXdpanppZ2Que0NvbHVtbjU0LDUzfSZxdW90OywmcXVvdDtTZWN0aW9uMS9tYXBwaW5nX2J1ZGdldC1UQk9fd2VpZ2h0ZWQgKDMpL1R5cGUgZ2V3aWp6aWdkLntDb2x1bW41NSw1NH0mcXVvdDssJnF1b3Q7U2VjdGlvbjEvbWFwcGluZ19idWRnZXQtVEJPX3dlaWdodGVkICgzKS9UeXBlIGdld2lqemlnZC57Q29sdW1uNTYsNTV9JnF1b3Q7LCZxdW90O1NlY3Rpb24xL21hcHBpbmdfYnVkZ2V0LVRCT193ZWlnaHRlZCAoMykvVHlwZSBnZXdpanppZ2Que0NvbHVtbjU3LDU2fSZxdW90OywmcXVvdDtTZWN0aW9uMS9tYXBwaW5nX2J1ZGdldC1UQk9fd2VpZ2h0ZWQgKDMpL1R5cGUgZ2V3aWp6aWdkLntDb2x1bW41OCw1N30mcXVvdDssJnF1b3Q7U2VjdGlvbjEvbWFwcGluZ19idWRnZXQtVEJPX3dlaWdodGVkICgzKS9UeXBlIGdld2lqemlnZC57Q29sdW1uNTksNTh9JnF1b3Q7LCZxdW90O1NlY3Rpb24xL21hcHBpbmdfYnVkZ2V0LVRCT193ZWlnaHRlZCAoMykvVHlwZSBnZXdpanppZ2Que0NvbHVtbjYwLDU5fSZxdW90OywmcXVvdDtTZWN0aW9uMS9tYXBwaW5nX2J1ZGdldC1UQk9fd2VpZ2h0ZWQgKDMpL1R5cGUgZ2V3aWp6aWdkLntDb2x1bW42MSw2MH0mcXVvdDssJnF1b3Q7U2VjdGlvbjEvbWFwcGluZ19idWRnZXQtVEJPX3dlaWdodGVkICgzKS9UeXBlIGdld2lqemlnZC57Q29sdW1uNjIsNjF9JnF1b3Q7LCZxdW90O1NlY3Rpb24xL21hcHBpbmdfYnVkZ2V0LVRCT193ZWlnaHRlZCAoMykvVHlwZSBnZXdpanppZ2Que0NvbHVtbjYzLDYyfSZxdW90OywmcXVvdDtTZWN0aW9uMS9tYXBwaW5nX2J1ZGdldC1UQk9fd2VpZ2h0ZWQgKDMpL1R5cGUgZ2V3aWp6aWdkLntDb2x1bW42NCw2M30mcXVvdDssJnF1b3Q7U2VjdGlvbjEvbWFwcGluZ19idWRnZXQtVEJPX3dlaWdodGVkICgzKS9UeXBlIGdld2lqemlnZC57Q29sdW1uNjUsNjR9JnF1b3Q7LCZxdW90O1NlY3Rpb24xL21hcHBpbmdfYnVkZ2V0LVRCT193ZWlnaHRlZCAoMykvVHlwZSBnZXdpanppZ2Que0NvbHVtbjY2LDY1fSZxdW90OywmcXVvdDtTZWN0aW9uMS9tYXBwaW5nX2J1ZGdldC1UQk9fd2VpZ2h0ZWQgKDMpL1R5cGUgZ2V3aWp6aWdkLntDb2x1bW42Nyw2Nn0mcXVvdDssJnF1b3Q7U2VjdGlvbjEvbWFwcGluZ19idWRnZXQtVEJPX3dlaWdodGVkICgzKS9UeXBlIGdld2lqemlnZC57Q29sdW1uNjgsNjd9JnF1b3Q7LCZxdW90O1NlY3Rpb24xL21hcHBpbmdfYnVkZ2V0LVRCT193ZWlnaHRlZCAoMykvVHlwZSBnZXdpanppZ2Que0NvbHVtbjY5LDY4fSZxdW90OywmcXVvdDtTZWN0aW9uMS9tYXBwaW5nX2J1ZGdldC1UQk9fd2VpZ2h0ZWQgKDMpL1R5cGUgZ2V3aWp6aWdkLntDb2x1bW43MCw2OX0mcXVvdDssJnF1b3Q7U2VjdGlvbjEvbWFwcGluZ19idWRnZXQtVEJPX3dlaWdodGVkICgzKS9UeXBlIGdld2lqemlnZC57Q29sdW1uNzEsNzB9JnF1b3Q7LCZxdW90O1NlY3Rpb24xL21hcHBpbmdfYnVkZ2V0LVRCT193ZWlnaHRlZCAoMykvVHlwZSBnZXdpanppZ2Que0NvbHVtbjcyLDcxfSZxdW90OywmcXVvdDtTZWN0aW9uMS9tYXBwaW5nX2J1ZGdldC1UQk9fd2VpZ2h0ZWQgKDMpL1R5cGUgZ2V3aWp6aWdkLntDb2x1bW43Myw3Mn0mcXVvdDssJnF1b3Q7U2VjdGlvbjEvbWFwcGluZ19idWRnZXQtVEJPX3dlaWdodGVkICgzKS9UeXBlIGdld2lqemlnZC57Q29sdW1uNzQsNzN9JnF1b3Q7LCZxdW90O1NlY3Rpb24xL21hcHBpbmdfYnVkZ2V0LVRCT193ZWlnaHRlZCAoMykvVHlwZSBnZXdpanppZ2Que0NvbHVtbjc1LDc0fSZxdW90OywmcXVvdDtTZWN0aW9uMS9tYXBwaW5nX2J1ZGdldC1UQk9fd2VpZ2h0ZWQgKDMpL1R5cGUgZ2V3aWp6aWdkLntDb2x1bW43Niw3NX0mcXVvdDssJnF1b3Q7U2VjdGlvbjEvbWFwcGluZ19idWRnZXQtVEJPX3dlaWdodGVkICgzKS9UeXBlIGdld2lqemlnZC57Q29sdW1uNzcsNzZ9JnF1b3Q7LCZxdW90O1NlY3Rpb24xL21hcHBpbmdfYnVkZ2V0LVRCT193ZWlnaHRlZCAoMykvVHlwZSBnZXdpanppZ2Que0NvbHVtbjc4LDc3fSZxdW90OywmcXVvdDtTZWN0aW9uMS9tYXBwaW5nX2J1ZGdldC1UQk9fd2VpZ2h0ZWQgKDMpL1R5cGUgZ2V3aWp6aWdkLntDb2x1bW43OSw3OH0mcXVvdDssJnF1b3Q7U2VjdGlvbjEvbWFwcGluZ19idWRnZXQtVEJPX3dlaWdodGVkICgzKS9UeXBlIGdld2lqemlnZC57Q29sdW1uODAsNzl9JnF1b3Q7LCZxdW90O1NlY3Rpb24xL21hcHBpbmdfYnVkZ2V0LVRCT193ZWlnaHRlZCAoMykvVHlwZSBnZXdpanppZ2Que0NvbHVtbjgxLDgwfSZxdW90OywmcXVvdDtTZWN0aW9uMS9tYXBwaW5nX2J1ZGdldC1UQk9fd2VpZ2h0ZWQgKDMpL1R5cGUgZ2V3aWp6aWdkLntDb2x1bW44Miw4MX0mcXVvdDssJnF1b3Q7U2VjdGlvbjEvbWFwcGluZ19idWRnZXQtVEJPX3dlaWdodGVkICgzKS9UeXBlIGdld2lqemlnZC57Q29sdW1uODMsODJ9JnF1b3Q7LCZxdW90O1NlY3Rpb24xL21hcHBpbmdfYnVkZ2V0LVRCT193ZWlnaHRlZCAoMykvVHlwZSBnZXdpanppZ2Que0NvbHVtbjg0LDgzfSZxdW90OywmcXVvdDtTZWN0aW9uMS9tYXBwaW5nX2J1ZGdldC1UQk9fd2VpZ2h0ZWQgKDMpL1R5cGUgZ2V3aWp6aWdkLntDb2x1bW44NSw4NH0mcXVvdDssJnF1b3Q7U2VjdGlvbjEvbWFwcGluZ19idWRnZXQtVEJPX3dlaWdodGVkICgzKS9UeXBlIGdld2lqemlnZC57Q29sdW1uODYsODV9JnF1b3Q7LCZxdW90O1NlY3Rpb24xL21hcHBpbmdfYnVkZ2V0LVRCT193ZWlnaHRlZCAoMykvVHlwZSBnZXdpanppZ2Que0NvbHVtbjg3LDg2fSZxdW90OywmcXVvdDtTZWN0aW9uMS9tYXBwaW5nX2J1ZGdldC1UQk9fd2VpZ2h0ZWQgKDMpL1R5cGUgZ2V3aWp6aWdkLntDb2x1bW44OCw4N30mcXVvdDssJnF1b3Q7U2VjdGlvbjEvbWFwcGluZ19idWRnZXQtVEJPX3dlaWdodGVkICgzKS9UeXBlIGdld2lqemlnZC57Q29sdW1uODksODh9JnF1b3Q7LCZxdW90O1NlY3Rpb24xL21hcHBpbmdfYnVkZ2V0LVRCT193ZWlnaHRlZCAoMykvVHlwZSBnZXdpanppZ2Que0NvbHVtbjkwLDg5fSZxdW90OywmcXVvdDtTZWN0aW9uMS9tYXBwaW5nX2J1ZGdldC1UQk9fd2VpZ2h0ZWQgKDMpL1R5cGUgZ2V3aWp6aWdkLntDb2x1bW45MSw5MH0mcXVvdDssJnF1b3Q7U2VjdGlvbjEvbWFwcGluZ19idWRnZXQtVEJPX3dlaWdodGVkICgzKS9UeXBlIGdld2lqemlnZC57Q29sdW1uOTIsOTF9JnF1b3Q7LCZxdW90O1NlY3Rpb24xL21hcHBpbmdfYnVkZ2V0LVRCT193ZWlnaHRlZCAoMykvVHlwZSBnZXdpanppZ2Que0NvbHVtbjkzLDkyfSZxdW90OywmcXVvdDtTZWN0aW9uMS9tYXBwaW5nX2J1ZGdldC1UQk9fd2VpZ2h0ZWQgKDMpL1R5cGUgZ2V3aWp6aWdkLntDb2x1bW45NCw5M30mcXVvdDssJnF1b3Q7U2VjdGlvbjEvbWFwcGluZ19idWRnZXQtVEJPX3dlaWdodGVkICgzKS9UeXBlIGdld2lqemlnZC57Q29sdW1uOTUsOTR9JnF1b3Q7LCZxdW90O1NlY3Rpb24xL21hcHBpbmdfYnVkZ2V0LVRCT193ZWlnaHRlZCAoMykvVHlwZSBnZXdpanppZ2Que0NvbHVtbjk2LDk1fSZxdW90OywmcXVvdDtTZWN0aW9uMS9tYXBwaW5nX2J1ZGdldC1UQk9fd2VpZ2h0ZWQgKDMpL1R5cGUgZ2V3aWp6aWdkLntDb2x1bW45Nyw5Nn0mcXVvdDssJnF1b3Q7U2VjdGlvbjEvbWFwcGluZ19idWRnZXQtVEJPX3dlaWdodGVkICgzKS9UeXBlIGdld2lqemlnZC57Q29sdW1uOTgsOTd9JnF1b3Q7LCZxdW90O1NlY3Rpb24xL21hcHBpbmdfYnVkZ2V0LVRCT193ZWlnaHRlZCAoMykvVHlwZSBnZXdpanppZ2Que0NvbHVtbjk5LDk4fSZxdW90OywmcXVvdDtTZWN0aW9uMS9tYXBwaW5nX2J1ZGdldC1UQk9fd2VpZ2h0ZWQgKDMpL1R5cGUgZ2V3aWp6aWdkLntDb2x1bW4xMDAsOTl9JnF1b3Q7LCZxdW90O1NlY3Rpb24xL21hcHBpbmdfYnVkZ2V0LVRCT193ZWlnaHRlZCAoMykvVHlwZSBnZXdpanppZ2Que0NvbHVtbjEwMSwxMDB9JnF1b3Q7LCZxdW90O1NlY3Rpb24xL21hcHBpbmdfYnVkZ2V0LVRCT193ZWlnaHRlZCAoMykvVHlwZSBnZXdpanppZ2Que0NvbHVtbjEwMiwxMDF9JnF1b3Q7LCZxdW90O1NlY3Rpb24xL21hcHBpbmdfYnVkZ2V0LVRCT193ZWlnaHRlZCAoMykvVHlwZSBnZXdpanppZ2Que0NvbHVtbjEwMywxMDJ9JnF1b3Q7LCZxdW90O1NlY3Rpb24xL21hcHBpbmdfYnVkZ2V0LVRCT193ZWlnaHRlZCAoMykvVHlwZSBnZXdpanppZ2Que0NvbHVtbjEwNCwxMDN9JnF1b3Q7LCZxdW90O1NlY3Rpb24xL21hcHBpbmdfYnVkZ2V0LVRCT193ZWlnaHRlZCAoMykvVHlwZSBnZXdpanppZ2Que0NvbHVtbjEwNSwxMDR9JnF1b3Q7LCZxdW90O1NlY3Rpb24xL21hcHBpbmdfYnVkZ2V0LVRCT193ZWlnaHRlZCAoMykvVHlwZSBnZXdpanppZ2Que0NvbHVtbjEwNiwxMDV9JnF1b3Q7LCZxdW90O1NlY3Rpb24xL21hcHBpbmdfYnVkZ2V0LVRCT193ZWlnaHRlZCAoMykvVHlwZSBnZXdpanppZ2Que0NvbHVtbjEwNywxMDZ9JnF1b3Q7LCZxdW90O1NlY3Rpb24xL21hcHBpbmdfYnVkZ2V0LVRCT193ZWlnaHRlZCAoMykvVHlwZSBnZXdpanppZ2Que0NvbHVtbjEwOCwxMDd9JnF1b3Q7LCZxdW90O1NlY3Rpb24xL21hcHBpbmdfYnVkZ2V0LVRCT193ZWlnaHRlZCAoMykvVHlwZSBnZXdpanppZ2Que0NvbHVtbjEwOSwxMDh9JnF1b3Q7LCZxdW90O1NlY3Rpb24xL21hcHBpbmdfYnVkZ2V0LVRCT193ZWlnaHRlZCAoMykvVHlwZSBnZXdpanppZ2Que0NvbHVtbjExMCwxMDl9JnF1b3Q7LCZxdW90O1NlY3Rpb24xL21hcHBpbmdfYnVkZ2V0LVRCT193ZWlnaHRlZCAoMykvVHlwZSBnZXdpanppZ2Que0NvbHVtbjExMSwxMTB9JnF1b3Q7LCZxdW90O1NlY3Rpb24xL21hcHBpbmdfYnVkZ2V0LVRCT193ZWlnaHRlZCAoMykvVHlwZSBnZXdpanppZ2Que0NvbHVtbjExMiwxMTF9JnF1b3Q7LCZxdW90O1NlY3Rpb24xL21hcHBpbmdfYnVkZ2V0LVRCT193ZWlnaHRlZCAoMykvVHlwZSBnZXdpanppZ2Que0NvbHVtbjExMywxMTJ9JnF1b3Q7LCZxdW90O1NlY3Rpb24xL21hcHBpbmdfYnVkZ2V0LVRCT193ZWlnaHRlZCAoMykvVHlwZSBnZXdpanppZ2Que0NvbHVtbjExNCwxMTN9JnF1b3Q7LCZxdW90O1NlY3Rpb24xL21hcHBpbmdfYnVkZ2V0LVRCT193ZWlnaHRlZCAoMykvVHlwZSBnZXdpanppZ2Que0NvbHVtbjExNSwxMTR9JnF1b3Q7LCZxdW90O1NlY3Rpb24xL21hcHBpbmdfYnVkZ2V0LVRCT193ZWlnaHRlZCAoMykvVHlwZSBnZXdpanppZ2Que0NvbHVtbjExNiwxMTV9JnF1b3Q7LCZxdW90O1NlY3Rpb24xL21hcHBpbmdfYnVkZ2V0LVRCT193ZWlnaHRlZCAoMykvVHlwZSBnZXdpanppZ2Que0NvbHVtbjExNywxMTZ9JnF1b3Q7LCZxdW90O1NlY3Rpb24xL21hcHBpbmdfYnVkZ2V0LVRCT193ZWlnaHRlZCAoMykvVHlwZSBnZXdpanppZ2Que0NvbHVtbjExOCwxMTd9JnF1b3Q7LCZxdW90O1NlY3Rpb24xL21hcHBpbmdfYnVkZ2V0LVRCT193ZWlnaHRlZCAoMykvVHlwZSBnZXdpanppZ2Que0NvbHVtbjExOSwxMTh9JnF1b3Q7LCZxdW90O1NlY3Rpb24xL21hcHBpbmdfYnVkZ2V0LVRCT193ZWlnaHRlZCAoMykvVHlwZSBnZXdpanppZ2Que0NvbHVtbjEyMCwxMTl9JnF1b3Q7LCZxdW90O1NlY3Rpb24xL21hcHBpbmdfYnVkZ2V0LVRCT193ZWlnaHRlZCAoMykvVHlwZSBnZXdpanppZ2Que0NvbHVtbjEyMSwxMjB9JnF1b3Q7LCZxdW90O1NlY3Rpb24xL21hcHBpbmdfYnVkZ2V0LVRCT193ZWlnaHRlZCAoMykvVHlwZSBnZXdpanppZ2Que0NvbHVtbjEyMiwxMjF9JnF1b3Q7LCZxdW90O1NlY3Rpb24xL21hcHBpbmdfYnVkZ2V0LVRCT193ZWlnaHRlZCAoMykvVHlwZSBnZXdpanppZ2Que0NvbHVtbjEyMywxMjJ9JnF1b3Q7LCZxdW90O1NlY3Rpb24xL21hcHBpbmdfYnVkZ2V0LVRCT193ZWlnaHRlZCAoMykvVHlwZSBnZXdpanppZ2Que0NvbHVtbjEyNCwxMjN9JnF1b3Q7LCZxdW90O1NlY3Rpb24xL21hcHBpbmdfYnVkZ2V0LVRCT193ZWlnaHRlZCAoMykvVHlwZSBnZXdpanppZ2Que0NvbHVtbjEyNSwxMjR9JnF1b3Q7LCZxdW90O1NlY3Rpb24xL21hcHBpbmdfYnVkZ2V0LVRCT193ZWlnaHRlZCAoMykvVHlwZSBnZXdpanppZ2Que0NvbHVtbjEyNiwxMjV9JnF1b3Q7LCZxdW90O1NlY3Rpb24xL21hcHBpbmdfYnVkZ2V0LVRCT193ZWlnaHRlZCAoMykvVHlwZSBnZXdpanppZ2Que0NvbHVtbjEyNywxMjZ9JnF1b3Q7LCZxdW90O1NlY3Rpb24xL21hcHBpbmdfYnVkZ2V0LVRCT193ZWlnaHRlZCAoMykvVHlwZSBnZXdpanppZ2Que0NvbHVtbjEyOCwxMjd9JnF1b3Q7LCZxdW90O1NlY3Rpb24xL21hcHBpbmdfYnVkZ2V0LVRCT193ZWlnaHRlZCAoMykvVHlwZSBnZXdpanppZ2Que0NvbHVtbjEyOSwxMjh9JnF1b3Q7LCZxdW90O1NlY3Rpb24xL21hcHBpbmdfYnVkZ2V0LVRCT193ZWlnaHRlZCAoMykvVHlwZSBnZXdpanppZ2Que0NvbHVtbjEzMCwxMjl9JnF1b3Q7LCZxdW90O1NlY3Rpb24xL21hcHBpbmdfYnVkZ2V0LVRCT193ZWlnaHRlZCAoMykvVHlwZSBnZXdpanppZ2Que0NvbHVtbjEzMSwxMzB9JnF1b3Q7LCZxdW90O1NlY3Rpb24xL21hcHBpbmdfYnVkZ2V0LVRCT193ZWlnaHRlZCAoMykvVHlwZSBnZXdpanppZ2Que0NvbHVtbjEzMiwxMzF9JnF1b3Q7LCZxdW90O1NlY3Rpb24xL21hcHBpbmdfYnVkZ2V0LVRCT193ZWlnaHRlZCAoMykvVHlwZSBnZXdpanppZ2Que0NvbHVtbjEzMywxMzJ9JnF1b3Q7LCZxdW90O1NlY3Rpb24xL21hcHBpbmdfYnVkZ2V0LVRCT193ZWlnaHRlZCAoMykvVHlwZSBnZXdpanppZ2Que0NvbHVtbjEzNCwxMzN9JnF1b3Q7LCZxdW90O1NlY3Rpb24xL21hcHBpbmdfYnVkZ2V0LVRCT193ZWlnaHRlZCAoMykvVHlwZSBnZXdpanppZ2Que0NvbHVtbjEzNSwxMzR9JnF1b3Q7LCZxdW90O1NlY3Rpb24xL21hcHBpbmdfYnVkZ2V0LVRCT193ZWlnaHRlZCAoMykvVHlwZSBnZXdpanppZ2Que0NvbHVtbjEzNiwxMzV9JnF1b3Q7LCZxdW90O1NlY3Rpb24xL21hcHBpbmdfYnVkZ2V0LVRCT193ZWlnaHRlZCAoMykvVHlwZSBnZXdpanppZ2Que0NvbHVtbjEzNywxMzZ9JnF1b3Q7LCZxdW90O1NlY3Rpb24xL21hcHBpbmdfYnVkZ2V0LVRCT193ZWlnaHRlZCAoMykvVHlwZSBnZXdpanppZ2Que0NvbHVtbjEzOCwxMzd9JnF1b3Q7LCZxdW90O1NlY3Rpb24xL21hcHBpbmdfYnVkZ2V0LVRCT193ZWlnaHRlZCAoMykvVHlwZSBnZXdpanppZ2Que0NvbHVtbjEzOSwxMzh9JnF1b3Q7LCZxdW90O1NlY3Rpb24xL21hcHBpbmdfYnVkZ2V0LVRCT193ZWlnaHRlZCAoMykvVHlwZSBnZXdpanppZ2Que0NvbHVtbjE0MCwxMzl9JnF1b3Q7LCZxdW90O1NlY3Rpb24xL21hcHBpbmdfYnVkZ2V0LVRCT193ZWlnaHRlZCAoMykvVHlwZSBnZXdpanppZ2Que0NvbHVtbjE0MSwxNDB9JnF1b3Q7LCZxdW90O1NlY3Rpb24xL21hcHBpbmdfYnVkZ2V0LVRCT193ZWlnaHRlZCAoMykvVHlwZSBnZXdpanppZ2Que0NvbHVtbjE0MiwxNDF9JnF1b3Q7LCZxdW90O1NlY3Rpb24xL21hcHBpbmdfYnVkZ2V0LVRCT193ZWlnaHRlZCAoMykvVHlwZSBnZXdpanppZ2Que0NvbHVtbjE0MywxNDJ9JnF1b3Q7LCZxdW90O1NlY3Rpb24xL21hcHBpbmdfYnVkZ2V0LVRCT193ZWlnaHRlZCAoMykvVHlwZSBnZXdpanppZ2Que0NvbHVtbjE0NCwxNDN9JnF1b3Q7LCZxdW90O1NlY3Rpb24xL21hcHBpbmdfYnVkZ2V0LVRCT193ZWlnaHRlZCAoMykvVHlwZSBnZXdpanppZ2Que0NvbHVtbjE0NSwxNDR9JnF1b3Q7LCZxdW90O1NlY3Rpb24xL21hcHBpbmdfYnVkZ2V0LVRCT193ZWlnaHRlZCAoMykvVHlwZSBnZXdpanppZ2Que0NvbHVtbjE0NiwxNDV9JnF1b3Q7LCZxdW90O1NlY3Rpb24xL21hcHBpbmdfYnVkZ2V0LVRCT193ZWlnaHRlZCAoMykvVHlwZSBnZXdpanppZ2Que0NvbHVtbjE0NywxNDZ9JnF1b3Q7LCZxdW90O1NlY3Rpb24xL21hcHBpbmdfYnVkZ2V0LVRCT193ZWlnaHRlZCAoMykvVHlwZSBnZXdpanppZ2Que0NvbHVtbjE0OCwxNDd9JnF1b3Q7LCZxdW90O1NlY3Rpb24xL21hcHBpbmdfYnVkZ2V0LVRCT193ZWlnaHRlZCAoMykvVHlwZSBnZXdpanppZ2Que0NvbHVtbjE0OSwxNDh9JnF1b3Q7LCZxdW90O1NlY3Rpb24xL21hcHBpbmdfYnVkZ2V0LVRCT193ZWlnaHRlZCAoMykvVHlwZSBnZXdpanppZ2Que0NvbHVtbjE1MCwxNDl9JnF1b3Q7LCZxdW90O1NlY3Rpb24xL21hcHBpbmdfYnVkZ2V0LVRCT193ZWlnaHRlZCAoMykvVHlwZSBnZXdpanppZ2Que0NvbHVtbjE1MSwxNTB9JnF1b3Q7LCZxdW90O1NlY3Rpb24xL21hcHBpbmdfYnVkZ2V0LVRCT193ZWlnaHRlZCAoMykvVHlwZSBnZXdpanppZ2Que0NvbHVtbjE1MiwxNTF9JnF1b3Q7LCZxdW90O1NlY3Rpb24xL21hcHBpbmdfYnVkZ2V0LVRCT193ZWlnaHRlZCAoMykvVHlwZSBnZXdpanppZ2Que0NvbHVtbjE1MywxNTJ9JnF1b3Q7LCZxdW90O1NlY3Rpb24xL21hcHBpbmdfYnVkZ2V0LVRCT193ZWlnaHRlZCAoMykvVHlwZSBnZXdpanppZ2Que0NvbHVtbjE1NCwxNTN9JnF1b3Q7LCZxdW90O1NlY3Rpb24xL21hcHBpbmdfYnVkZ2V0LVRCT193ZWlnaHRlZCAoMykvVHlwZSBnZXdpanppZ2Que0NvbHVtbjE1NSwxNTR9JnF1b3Q7LCZxdW90O1NlY3Rpb24xL21hcHBpbmdfYnVkZ2V0LVRCT193ZWlnaHRlZCAoMykvVHlwZSBnZXdpanppZ2Que0NvbHVtbjE1NiwxNTV9JnF1b3Q7LCZxdW90O1NlY3Rpb24xL21hcHBpbmdfYnVkZ2V0LVRCT193ZWlnaHRlZCAoMykvVHlwZSBnZXdpanppZ2Que0NvbHVtbjE1NywxNTZ9JnF1b3Q7LCZxdW90O1NlY3Rpb24xL21hcHBpbmdfYnVkZ2V0LVRCT193ZWlnaHRlZCAoMykvVHlwZSBnZXdpanppZ2Que0NvbHVtbjE1OCwxNTd9JnF1b3Q7LCZxdW90O1NlY3Rpb24xL21hcHBpbmdfYnVkZ2V0LVRCT193ZWlnaHRlZCAoMykvVHlwZSBnZXdpanppZ2Que0NvbHVtbjE1OSwxNTh9JnF1b3Q7LCZxdW90O1NlY3Rpb24xL21hcHBpbmdfYnVkZ2V0LVRCT193ZWlnaHRlZCAoMykvVHlwZSBnZXdpanppZ2Que0NvbHVtbjE2MCwxNTl9JnF1b3Q7LCZxdW90O1NlY3Rpb24xL21hcHBpbmdfYnVkZ2V0LVRCT193ZWlnaHRlZCAoMykvVHlwZSBnZXdpanppZ2Que0NvbHVtbjE2MSwxNjB9JnF1b3Q7LCZxdW90O1NlY3Rpb24xL21hcHBpbmdfYnVkZ2V0LVRCT193ZWlnaHRlZCAoMykvVHlwZSBnZXdpanppZ2Que0NvbHVtbjE2MiwxNjF9JnF1b3Q7LCZxdW90O1NlY3Rpb24xL21hcHBpbmdfYnVkZ2V0LVRCT193ZWlnaHRlZCAoMykvVHlwZSBnZXdpanppZ2Que0NvbHVtbjE2MywxNjJ9JnF1b3Q7LCZxdW90O1NlY3Rpb24xL21hcHBpbmdfYnVkZ2V0LVRCT193ZWlnaHRlZCAoMykvVHlwZSBnZXdpanppZ2Que0NvbHVtbjE2NCwxNjN9JnF1b3Q7LCZxdW90O1NlY3Rpb24xL21hcHBpbmdfYnVkZ2V0LVRCT193ZWlnaHRlZCAoMykvVHlwZSBnZXdpanppZ2Que0NvbHVtbjE2NSwxNjR9JnF1b3Q7LCZxdW90O1NlY3Rpb24xL21hcHBpbmdfYnVkZ2V0LVRCT193ZWlnaHRlZCAoMykvVHlwZSBnZXdpanppZ2Que0NvbHVtbjE2NiwxNjV9JnF1b3Q7LCZxdW90O1NlY3Rpb24xL21hcHBpbmdfYnVkZ2V0LVRCT193ZWlnaHRlZCAoMykvVHlwZSBnZXdpanppZ2Que0NvbHVtbjE2NywxNjZ9JnF1b3Q7LCZxdW90O1NlY3Rpb24xL21hcHBpbmdfYnVkZ2V0LVRCT193ZWlnaHRlZCAoMykvVHlwZSBnZXdpanppZ2Que0NvbHVtbjE2OCwxNjd9JnF1b3Q7LCZxdW90O1NlY3Rpb24xL21hcHBpbmdfYnVkZ2V0LVRCT193ZWlnaHRlZCAoMykvVHlwZSBnZXdpanppZ2Que0NvbHVtbjE2OSwxNjh9JnF1b3Q7LCZxdW90O1NlY3Rpb24xL21hcHBpbmdfYnVkZ2V0LVRCT193ZWlnaHRlZCAoMykvVHlwZSBnZXdpanppZ2Que0NvbHVtbjE3MCwxNjl9JnF1b3Q7LCZxdW90O1NlY3Rpb24xL21hcHBpbmdfYnVkZ2V0LVRCT193ZWlnaHRlZCAoMykvVHlwZSBnZXdpanppZ2Que0NvbHVtbjE3MSwxNzB9JnF1b3Q7LCZxdW90O1NlY3Rpb24xL21hcHBpbmdfYnVkZ2V0LVRCT193ZWlnaHRlZCAoMykvVHlwZSBnZXdpanppZ2Que0NvbHVtbjE3MiwxNzF9JnF1b3Q7LCZxdW90O1NlY3Rpb24xL21hcHBpbmdfYnVkZ2V0LVRCT193ZWlnaHRlZCAoMykvVHlwZSBnZXdpanppZ2Que0NvbHVtbjE3MywxNzJ9JnF1b3Q7LCZxdW90O1NlY3Rpb24xL21hcHBpbmdfYnVkZ2V0LVRCT193ZWlnaHRlZCAoMykvVHlwZSBnZXdpanppZ2Que0NvbHVtbjE3NCwxNzN9JnF1b3Q7LCZxdW90O1NlY3Rpb24xL21hcHBpbmdfYnVkZ2V0LVRCT193ZWlnaHRlZCAoMykvVHlwZSBnZXdpanppZ2Que0NvbHVtbjE3NSwxNzR9JnF1b3Q7LCZxdW90O1NlY3Rpb24xL21hcHBpbmdfYnVkZ2V0LVRCT193ZWlnaHRlZCAoMykvVHlwZSBnZXdpanppZ2Que0NvbHVtbjE3NiwxNzV9JnF1b3Q7LCZxdW90O1NlY3Rpb24xL21hcHBpbmdfYnVkZ2V0LVRCT193ZWlnaHRlZCAoMykvVHlwZSBnZXdpanppZ2Que0NvbHVtbjE3NywxNzZ9JnF1b3Q7LCZxdW90O1NlY3Rpb24xL21hcHBpbmdfYnVkZ2V0LVRCT193ZWlnaHRlZCAoMykvVHlwZSBnZXdpanppZ2Que0NvbHVtbjE3OCwxNzd9JnF1b3Q7LCZxdW90O1NlY3Rpb24xL21hcHBpbmdfYnVkZ2V0LVRCT193ZWlnaHRlZCAoMykvVHlwZSBnZXdpanppZ2Que0NvbHVtbjE3OSwxNzh9JnF1b3Q7LCZxdW90O1NlY3Rpb24xL21hcHBpbmdfYnVkZ2V0LVRCT193ZWlnaHRlZCAoMykvVHlwZSBnZXdpanppZ2Que0NvbHVtbjE4MCwxNzl9JnF1b3Q7LCZxdW90O1NlY3Rpb24xL21hcHBpbmdfYnVkZ2V0LVRCT193ZWlnaHRlZCAoMykvVHlwZSBnZXdpanppZ2Que0NvbHVtbjE4MSwxODB9JnF1b3Q7LCZxdW90O1NlY3Rpb24xL21hcHBpbmdfYnVkZ2V0LVRCT193ZWlnaHRlZCAoMykvVHlwZSBnZXdpanppZ2Que0NvbHVtbjE4MiwxODF9JnF1b3Q7LCZxdW90O1NlY3Rpb24xL21hcHBpbmdfYnVkZ2V0LVRCT193ZWlnaHRlZCAoMykvVHlwZSBnZXdpanppZ2Que0NvbHVtbjE4MywxODJ9JnF1b3Q7LCZxdW90O1NlY3Rpb24xL21hcHBpbmdfYnVkZ2V0LVRCT193ZWlnaHRlZCAoMykvVHlwZSBnZXdpanppZ2Que0NvbHVtbjE4NCwxODN9JnF1b3Q7LCZxdW90O1NlY3Rpb24xL21hcHBpbmdfYnVkZ2V0LVRCT193ZWlnaHRlZCAoMykvVHlwZSBnZXdpanppZ2Que0NvbHVtbjE4NSwxODR9JnF1b3Q7LCZxdW90O1NlY3Rpb24xL21hcHBpbmdfYnVkZ2V0LVRCT193ZWlnaHRlZCAoMykvVHlwZSBnZXdpanppZ2Que0NvbHVtbjE4NiwxODV9JnF1b3Q7LCZxdW90O1NlY3Rpb24xL21hcHBpbmdfYnVkZ2V0LVRCT193ZWlnaHRlZCAoMykvVHlwZSBnZXdpanppZ2Que0NvbHVtbjE4NywxODZ9JnF1b3Q7LCZxdW90O1NlY3Rpb24xL21hcHBpbmdfYnVkZ2V0LVRCT193ZWlnaHRlZCAoMykvVHlwZSBnZXdpanppZ2Que0NvbHVtbjE4OCwxODd9JnF1b3Q7LCZxdW90O1NlY3Rpb24xL21hcHBpbmdfYnVkZ2V0LVRCT193ZWlnaHRlZCAoMykvVHlwZSBnZXdpanppZ2Que0NvbHVtbjE4OSwxODh9JnF1b3Q7LCZxdW90O1NlY3Rpb24xL21hcHBpbmdfYnVkZ2V0LVRCT193ZWlnaHRlZCAoMykvVHlwZSBnZXdpanppZ2Que0NvbHVtbjE5MCwxODl9JnF1b3Q7LCZxdW90O1NlY3Rpb24xL21hcHBpbmdfYnVkZ2V0LVRCT193ZWlnaHRlZCAoMykvVHlwZSBnZXdpanppZ2Que0NvbHVtbjE5MSwxOTB9JnF1b3Q7LCZxdW90O1NlY3Rpb24xL21hcHBpbmdfYnVkZ2V0LVRCT193ZWlnaHRlZCAoMykvVHlwZSBnZXdpanppZ2Que0NvbHVtbjE5MiwxOTF9JnF1b3Q7LCZxdW90O1NlY3Rpb24xL21hcHBpbmdfYnVkZ2V0LVRCT193ZWlnaHRlZCAoMykvVHlwZSBnZXdpanppZ2Que0NvbHVtbjE5MywxOTJ9JnF1b3Q7LCZxdW90O1NlY3Rpb24xL21hcHBpbmdfYnVkZ2V0LVRCT193ZWlnaHRlZCAoMykvVHlwZSBnZXdpanppZ2Que0NvbHVtbjE5NCwxOTN9JnF1b3Q7LCZxdW90O1NlY3Rpb24xL21hcHBpbmdfYnVkZ2V0LVRCT193ZWlnaHRlZCAoMykvVHlwZSBnZXdpanppZ2Que0NvbHVtbjE5NSwxOTR9JnF1b3Q7LCZxdW90O1NlY3Rpb24xL21hcHBpbmdfYnVkZ2V0LVRCT193ZWlnaHRlZCAoMykvVHlwZSBnZXdpanppZ2Que0NvbHVtbjE5NiwxOTV9JnF1b3Q7LCZxdW90O1NlY3Rpb24xL21hcHBpbmdfYnVkZ2V0LVRCT193ZWlnaHRlZCAoMykvVHlwZSBnZXdpanppZ2Que0NvbHVtbjE5NywxOTZ9JnF1b3Q7LCZxdW90O1NlY3Rpb24xL21hcHBpbmdfYnVkZ2V0LVRCT193ZWlnaHRlZCAoMykvVHlwZSBnZXdpanppZ2Que0NvbHVtbjE5OCwxOTd9JnF1b3Q7LCZxdW90O1NlY3Rpb24xL21hcHBpbmdfYnVkZ2V0LVRCT193ZWlnaHRlZCAoMykvVHlwZSBnZXdpanppZ2Que0NvbHVtbjE5OSwxOTh9JnF1b3Q7LCZxdW90O1NlY3Rpb24xL21hcHBpbmdfYnVkZ2V0LVRCT193ZWlnaHRlZCAoMykvVHlwZSBnZXdpanppZ2Que0NvbHVtbjIwMCwxOTl9JnF1b3Q7LCZxdW90O1NlY3Rpb24xL21hcHBpbmdfYnVkZ2V0LVRCT193ZWlnaHRlZCAoMykvVHlwZSBnZXdpanppZ2Que0NvbHVtbjIwMSwyMDB9JnF1b3Q7LCZxdW90O1NlY3Rpb24xL21hcHBpbmdfYnVkZ2V0LVRCT193ZWlnaHRlZCAoMykvVHlwZSBnZXdpanppZ2Que0NvbHVtbjIwMiwyMDF9JnF1b3Q7LCZxdW90O1NlY3Rpb24xL21hcHBpbmdfYnVkZ2V0LVRCT193ZWlnaHRlZCAoMykvVHlwZSBnZXdpanppZ2Que0NvbHVtbjIwMywyMDJ9JnF1b3Q7LCZxdW90O1NlY3Rpb24xL21hcHBpbmdfYnVkZ2V0LVRCT193ZWlnaHRlZCAoMykvVHlwZSBnZXdpanppZ2Que0NvbHVtbjIwNCwyMDN9JnF1b3Q7LCZxdW90O1NlY3Rpb24xL21hcHBpbmdfYnVkZ2V0LVRCT193ZWlnaHRlZCAoMykvVHlwZSBnZXdpanppZ2Que0NvbHVtbjIwNSwyMDR9JnF1b3Q7LCZxdW90O1NlY3Rpb24xL21hcHBpbmdfYnVkZ2V0LVRCT193ZWlnaHRlZCAoMykvVHlwZSBnZXdpanppZ2Que0NvbHVtbjIwNiwyMDV9JnF1b3Q7LCZxdW90O1NlY3Rpb24xL21hcHBpbmdfYnVkZ2V0LVRCT193ZWlnaHRlZCAoMykvVHlwZSBnZXdpanppZ2Que0NvbHVtbjIwNywyMDZ9JnF1b3Q7LCZxdW90O1NlY3Rpb24xL21hcHBpbmdfYnVkZ2V0LVRCT193ZWlnaHRlZCAoMykvVHlwZSBnZXdpanppZ2Que0NvbHVtbjIwOCwyMDd9JnF1b3Q7LCZxdW90O1NlY3Rpb24xL21hcHBpbmdfYnVkZ2V0LVRCT193ZWlnaHRlZCAoMykvVHlwZSBnZXdpanppZ2Que0NvbHVtbjIwOSwyMDh9JnF1b3Q7LCZxdW90O1NlY3Rpb24xL21hcHBpbmdfYnVkZ2V0LVRCT193ZWlnaHRlZCAoMykvVHlwZSBnZXdpanppZ2Que0NvbHVtbjIxMCwyMDl9JnF1b3Q7LCZxdW90O1NlY3Rpb24xL21hcHBpbmdfYnVkZ2V0LVRCT193ZWlnaHRlZCAoMykvVHlwZSBnZXdpanppZ2Que0NvbHVtbjIxMSwyMTB9JnF1b3Q7LCZxdW90O1NlY3Rpb24xL21hcHBpbmdfYnVkZ2V0LVRCT193ZWlnaHRlZCAoMykvVHlwZSBnZXdpanppZ2Que0NvbHVtbjIxMiwyMTF9JnF1b3Q7LCZxdW90O1NlY3Rpb24xL21hcHBpbmdfYnVkZ2V0LVRCT193ZWlnaHRlZCAoMykvVHlwZSBnZXdpanppZ2Que0NvbHVtbjIxMywyMTJ9JnF1b3Q7LCZxdW90O1NlY3Rpb24xL21hcHBpbmdfYnVkZ2V0LVRCT193ZWlnaHRlZCAoMykvVHlwZSBnZXdpanppZ2Que0NvbHVtbjIxNCwyMTN9JnF1b3Q7LCZxdW90O1NlY3Rpb24xL21hcHBpbmdfYnVkZ2V0LVRCT193ZWlnaHRlZCAoMykvVHlwZSBnZXdpanppZ2Que0NvbHVtbjIxNSwyMTR9JnF1b3Q7LCZxdW90O1NlY3Rpb24xL21hcHBpbmdfYnVkZ2V0LVRCT193ZWlnaHRlZCAoMykvVHlwZSBnZXdpanppZ2Que0NvbHVtbjIxNiwyMTV9JnF1b3Q7LCZxdW90O1NlY3Rpb24xL21hcHBpbmdfYnVkZ2V0LVRCT193ZWlnaHRlZCAoMykvVHlwZSBnZXdpanppZ2Que0NvbHVtbjIxNywyMTZ9JnF1b3Q7LCZxdW90O1NlY3Rpb24xL21hcHBpbmdfYnVkZ2V0LVRCT193ZWlnaHRlZCAoMykvVHlwZSBnZXdpanppZ2Que0NvbHVtbjIxOCwyMTd9JnF1b3Q7LCZxdW90O1NlY3Rpb24xL21hcHBpbmdfYnVkZ2V0LVRCT193ZWlnaHRlZCAoMykvVHlwZSBnZXdpanppZ2Que0NvbHVtbjIxOSwyMTh9JnF1b3Q7LCZxdW90O1NlY3Rpb24xL21hcHBpbmdfYnVkZ2V0LVRCT193ZWlnaHRlZCAoMykvVHlwZSBnZXdpanppZ2Que0NvbHVtbjIyMCwyMTl9JnF1b3Q7LCZxdW90O1NlY3Rpb24xL21hcHBpbmdfYnVkZ2V0LVRCT193ZWlnaHRlZCAoMykvVHlwZSBnZXdpanppZ2Que0NvbHVtbjIyMSwyMjB9JnF1b3Q7LCZxdW90O1NlY3Rpb24xL21hcHBpbmdfYnVkZ2V0LVRCT193ZWlnaHRlZCAoMykvVHlwZSBnZXdpanppZ2Que0NvbHVtbjIyMiwyMjF9JnF1b3Q7LCZxdW90O1NlY3Rpb24xL21hcHBpbmdfYnVkZ2V0LVRCT193ZWlnaHRlZCAoMykvVHlwZSBnZXdpanppZ2Que0NvbHVtbjIyMywyMjJ9JnF1b3Q7LCZxdW90O1NlY3Rpb24xL21hcHBpbmdfYnVkZ2V0LVRCT193ZWlnaHRlZCAoMykvVHlwZSBnZXdpanppZ2Que0NvbHVtbjIyNCwyMjN9JnF1b3Q7LCZxdW90O1NlY3Rpb24xL21hcHBpbmdfYnVkZ2V0LVRCT193ZWlnaHRlZCAoMykvVHlwZSBnZXdpanppZ2Que0NvbHVtbjIyNSwyMjR9JnF1b3Q7LCZxdW90O1NlY3Rpb24xL21hcHBpbmdfYnVkZ2V0LVRCT193ZWlnaHRlZCAoMykvVHlwZSBnZXdpanppZ2Que0NvbHVtbjIyNiwyMjV9JnF1b3Q7LCZxdW90O1NlY3Rpb24xL21hcHBpbmdfYnVkZ2V0LVRCT193ZWlnaHRlZCAoMykvVHlwZSBnZXdpanppZ2Que0NvbHVtbjIyNywyMjZ9JnF1b3Q7LCZxdW90O1NlY3Rpb24xL21hcHBpbmdfYnVkZ2V0LVRCT193ZWlnaHRlZCAoMykvVHlwZSBnZXdpanppZ2Que0NvbHVtbjIyOCwyMjd9JnF1b3Q7LCZxdW90O1NlY3Rpb24xL21hcHBpbmdfYnVkZ2V0LVRCT193ZWlnaHRlZCAoMykvVHlwZSBnZXdpanppZ2Que0NvbHVtbjIyOSwyMjh9JnF1b3Q7LCZxdW90O1NlY3Rpb24xL21hcHBpbmdfYnVkZ2V0LVRCT193ZWlnaHRlZCAoMykvVHlwZSBnZXdpanppZ2Que0NvbHVtbjIzMCwyMjl9JnF1b3Q7LCZxdW90O1NlY3Rpb24xL21hcHBpbmdfYnVkZ2V0LVRCT193ZWlnaHRlZCAoMykvVHlwZSBnZXdpanppZ2Que0NvbHVtbjIzMSwyMzB9JnF1b3Q7LCZxdW90O1NlY3Rpb24xL21hcHBpbmdfYnVkZ2V0LVRCT193ZWlnaHRlZCAoMykvVHlwZSBnZXdpanppZ2Que0NvbHVtbjIzMiwyMzF9JnF1b3Q7LCZxdW90O1NlY3Rpb24xL21hcHBpbmdfYnVkZ2V0LVRCT193ZWlnaHRlZCAoMykvVHlwZSBnZXdpanppZ2Que0NvbHVtbjIzMywyMzJ9JnF1b3Q7LCZxdW90O1NlY3Rpb24xL21hcHBpbmdfYnVkZ2V0LVRCT193ZWlnaHRlZCAoMykvVHlwZSBnZXdpanppZ2Que0NvbHVtbjIzNCwyMzN9JnF1b3Q7LCZxdW90O1NlY3Rpb24xL21hcHBpbmdfYnVkZ2V0LVRCT193ZWlnaHRlZCAoMykvVHlwZSBnZXdpanppZ2Que0NvbHVtbjIzNSwyMzR9JnF1b3Q7LCZxdW90O1NlY3Rpb24xL21hcHBpbmdfYnVkZ2V0LVRCT193ZWlnaHRlZCAoMykvVHlwZSBnZXdpanppZ2Que0NvbHVtbjIzNiwyMzV9JnF1b3Q7LCZxdW90O1NlY3Rpb24xL21hcHBpbmdfYnVkZ2V0LVRCT193ZWlnaHRlZCAoMykvVHlwZSBnZXdpanppZ2Que0NvbHVtbjIzNywyMzZ9JnF1b3Q7LCZxdW90O1NlY3Rpb24xL21hcHBpbmdfYnVkZ2V0LVRCT193ZWlnaHRlZCAoMykvVHlwZSBnZXdpanppZ2Que0NvbHVtbjIzOCwyMzd9JnF1b3Q7LCZxdW90O1NlY3Rpb24xL21hcHBpbmdfYnVkZ2V0LVRCT193ZWlnaHRlZCAoMykvVHlwZSBnZXdpanppZ2Que0NvbHVtbjIzOSwyMzh9JnF1b3Q7LCZxdW90O1NlY3Rpb24xL21hcHBpbmdfYnVkZ2V0LVRCT193ZWlnaHRlZCAoMykvVHlwZSBnZXdpanppZ2Que0NvbHVtbjI0MCwyMzl9JnF1b3Q7LCZxdW90O1NlY3Rpb24xL21hcHBpbmdfYnVkZ2V0LVRCT193ZWlnaHRlZCAoMykvVHlwZSBnZXdpanppZ2Que0NvbHVtbjI0MSwyNDB9JnF1b3Q7LCZxdW90O1NlY3Rpb24xL21hcHBpbmdfYnVkZ2V0LVRCT193ZWlnaHRlZCAoMykvVHlwZSBnZXdpanppZ2Que0NvbHVtbjI0MiwyNDF9JnF1b3Q7LCZxdW90O1NlY3Rpb24xL21hcHBpbmdfYnVkZ2V0LVRCT193ZWlnaHRlZCAoMykvVHlwZSBnZXdpanppZ2Que0NvbHVtbjI0MywyNDJ9JnF1b3Q7LCZxdW90O1NlY3Rpb24xL21hcHBpbmdfYnVkZ2V0LVRCT193ZWlnaHRlZCAoMykvVHlwZSBnZXdpanppZ2Que0NvbHVtbjI0NCwyNDN9JnF1b3Q7LCZxdW90O1NlY3Rpb24xL21hcHBpbmdfYnVkZ2V0LVRCT193ZWlnaHRlZCAoMykvVHlwZSBnZXdpanppZ2Que0NvbHVtbjI0NSwyNDR9JnF1b3Q7LCZxdW90O1NlY3Rpb24xL21hcHBpbmdfYnVkZ2V0LVRCT193ZWlnaHRlZCAoMykvVHlwZSBnZXdpanppZ2Que0NvbHVtbjI0NiwyNDV9JnF1b3Q7LCZxdW90O1NlY3Rpb24xL21hcHBpbmdfYnVkZ2V0LVRCT193ZWlnaHRlZCAoMykvVHlwZSBnZXdpanppZ2Que0NvbHVtbjI0NywyNDZ9JnF1b3Q7LCZxdW90O1NlY3Rpb24xL21hcHBpbmdfYnVkZ2V0LVRCT193ZWlnaHRlZCAoMykvVHlwZSBnZXdpanppZ2Que0NvbHVtbjI0OCwyNDd9JnF1b3Q7LCZxdW90O1NlY3Rpb24xL21hcHBpbmdfYnVkZ2V0LVRCT193ZWlnaHRlZCAoMykvVHlwZSBnZXdpanppZ2Que0NvbHVtbjI0OSwyNDh9JnF1b3Q7LCZxdW90O1NlY3Rpb24xL21hcHBpbmdfYnVkZ2V0LVRCT193ZWlnaHRlZCAoMykvVHlwZSBnZXdpanppZ2Que0NvbHVtbjI1MCwyNDl9JnF1b3Q7LCZxdW90O1NlY3Rpb24xL21hcHBpbmdfYnVkZ2V0LVRCT193ZWlnaHRlZCAoMykvVHlwZSBnZXdpanppZ2Que0NvbHVtbjI1MSwyNTB9JnF1b3Q7LCZxdW90O1NlY3Rpb24xL21hcHBpbmdfYnVkZ2V0LVRCT193ZWlnaHRlZCAoMykvVHlwZSBnZXdpanppZ2Que0NvbHVtbjI1MiwyNTF9JnF1b3Q7LCZxdW90O1NlY3Rpb24xL21hcHBpbmdfYnVkZ2V0LVRCT193ZWlnaHRlZCAoMykvVHlwZSBnZXdpanppZ2Que0NvbHVtbjI1MywyNTJ9JnF1b3Q7LCZxdW90O1NlY3Rpb24xL21hcHBpbmdfYnVkZ2V0LVRCT193ZWlnaHRlZCAoMykvVHlwZSBnZXdpanppZ2Que0NvbHVtbjI1NCwyNTN9JnF1b3Q7LCZxdW90O1NlY3Rpb24xL21hcHBpbmdfYnVkZ2V0LVRCT193ZWlnaHRlZCAoMykvVHlwZSBnZXdpanppZ2Que0NvbHVtbjI1NSwyNTR9JnF1b3Q7LCZxdW90O1NlY3Rpb24xL21hcHBpbmdfYnVkZ2V0LVRCT193ZWlnaHRlZCAoMykvVHlwZSBnZXdpanppZ2Que0NvbHVtbjI1NiwyNTV9JnF1b3Q7LCZxdW90O1NlY3Rpb24xL21hcHBpbmdfYnVkZ2V0LVRCT193ZWlnaHRlZCAoMykvVHlwZSBnZXdpanppZ2Que0NvbHVtbjI1NywyNTZ9JnF1b3Q7LCZxdW90O1NlY3Rpb24xL21hcHBpbmdfYnVkZ2V0LVRCT193ZWlnaHRlZCAoMykvVHlwZSBnZXdpanppZ2Que0NvbHVtbjI1OCwyNTd9JnF1b3Q7LCZxdW90O1NlY3Rpb24xL21hcHBpbmdfYnVkZ2V0LVRCT193ZWlnaHRlZCAoMykvVHlwZSBnZXdpanppZ2Que0NvbHVtbjI1OSwyNTh9JnF1b3Q7LCZxdW90O1NlY3Rpb24xL21hcHBpbmdfYnVkZ2V0LVRCT193ZWlnaHRlZCAoMykvVHlwZSBnZXdpanppZ2Que0NvbHVtbjI2MCwyNTl9JnF1b3Q7LCZxdW90O1NlY3Rpb24xL21hcHBpbmdfYnVkZ2V0LVRCT193ZWlnaHRlZCAoMykvVHlwZSBnZXdpanppZ2Que0NvbHVtbjI2MSwyNjB9JnF1b3Q7LCZxdW90O1NlY3Rpb24xL21hcHBpbmdfYnVkZ2V0LVRCT193ZWlnaHRlZCAoMykvVHlwZSBnZXdpanppZ2Que0NvbHVtbjI2MiwyNjF9JnF1b3Q7LCZxdW90O1NlY3Rpb24xL21hcHBpbmdfYnVkZ2V0LVRCT193ZWlnaHRlZCAoMykvVHlwZSBnZXdpanppZ2Que0NvbHVtbjI2MywyNjJ9JnF1b3Q7LCZxdW90O1NlY3Rpb24xL21hcHBpbmdfYnVkZ2V0LVRCT193ZWlnaHRlZCAoMykvVHlwZSBnZXdpanppZ2Que0NvbHVtbjI2NCwyNjN9JnF1b3Q7LCZxdW90O1NlY3Rpb24xL21hcHBpbmdfYnVkZ2V0LVRCT193ZWlnaHRlZCAoMykvVHlwZSBnZXdpanppZ2Que0NvbHVtbjI2NSwyNjR9JnF1b3Q7LCZxdW90O1NlY3Rpb24xL21hcHBpbmdfYnVkZ2V0LVRCT193ZWlnaHRlZCAoMykvVHlwZSBnZXdpanppZ2Que0NvbHVtbjI2NiwyNjV9JnF1b3Q7LCZxdW90O1NlY3Rpb24xL21hcHBpbmdfYnVkZ2V0LVRCT193ZWlnaHRlZCAoMykvVHlwZSBnZXdpanppZ2Que0NvbHVtbjI2NywyNjZ9JnF1b3Q7LCZxdW90O1NlY3Rpb24xL21hcHBpbmdfYnVkZ2V0LVRCT193ZWlnaHRlZCAoMykvVHlwZSBnZXdpanppZ2Que0NvbHVtbjI2OCwyNjd9JnF1b3Q7LCZxdW90O1NlY3Rpb24xL21hcHBpbmdfYnVkZ2V0LVRCT193ZWlnaHRlZCAoMykvVHlwZSBnZXdpanppZ2Que0NvbHVtbjI2OSwyNjh9JnF1b3Q7LCZxdW90O1NlY3Rpb24xL21hcHBpbmdfYnVkZ2V0LVRCT193ZWlnaHRlZCAoMykvVHlwZSBnZXdpanppZ2Que0NvbHVtbjI3MCwyNjl9JnF1b3Q7LCZxdW90O1NlY3Rpb24xL21hcHBpbmdfYnVkZ2V0LVRCT193ZWlnaHRlZCAoMykvVHlwZSBnZXdpanppZ2Que0NvbHVtbjI3MSwyNzB9JnF1b3Q7LCZxdW90O1NlY3Rpb24xL21hcHBpbmdfYnVkZ2V0LVRCT193ZWlnaHRlZCAoMykvVHlwZSBnZXdpanppZ2Que0NvbHVtbjI3MiwyNzF9JnF1b3Q7LCZxdW90O1NlY3Rpb24xL21hcHBpbmdfYnVkZ2V0LVRCT193ZWlnaHRlZCAoMykvVHlwZSBnZXdpanppZ2Que0NvbHVtbjI3MywyNzJ9JnF1b3Q7LCZxdW90O1NlY3Rpb24xL21hcHBpbmdfYnVkZ2V0LVRCT193ZWlnaHRlZCAoMykvVHlwZSBnZXdpanppZ2Que0NvbHVtbjI3NCwyNzN9JnF1b3Q7LCZxdW90O1NlY3Rpb24xL21hcHBpbmdfYnVkZ2V0LVRCT193ZWlnaHRlZCAoMykvVHlwZSBnZXdpanppZ2Que0NvbHVtbjI3NSwyNzR9JnF1b3Q7LCZxdW90O1NlY3Rpb24xL21hcHBpbmdfYnVkZ2V0LVRCT193ZWlnaHRlZCAoMykvVHlwZSBnZXdpanppZ2Que0NvbHVtbjI3NiwyNzV9JnF1b3Q7LCZxdW90O1NlY3Rpb24xL21hcHBpbmdfYnVkZ2V0LVRCT193ZWlnaHRlZCAoMykvVHlwZSBnZXdpanppZ2Que0NvbHVtbjI3NywyNzZ9JnF1b3Q7LCZxdW90O1NlY3Rpb24xL21hcHBpbmdfYnVkZ2V0LVRCT193ZWlnaHRlZCAoMykvVHlwZSBnZXdpanppZ2Que0NvbHVtbjI3OCwyNzd9JnF1b3Q7LCZxdW90O1NlY3Rpb24xL21hcHBpbmdfYnVkZ2V0LVRCT193ZWlnaHRlZCAoMykvVHlwZSBnZXdpanppZ2Que0NvbHVtbjI3OSwyNzh9JnF1b3Q7LCZxdW90O1NlY3Rpb24xL21hcHBpbmdfYnVkZ2V0LVRCT193ZWlnaHRlZCAoMykvVHlwZSBnZXdpanppZ2Que0NvbHVtbjI4MCwyNzl9JnF1b3Q7LCZxdW90O1NlY3Rpb24xL21hcHBpbmdfYnVkZ2V0LVRCT193ZWlnaHRlZCAoMykvVHlwZSBnZXdpanppZ2Que0NvbHVtbjI4MSwyODB9JnF1b3Q7LCZxdW90O1NlY3Rpb24xL21hcHBpbmdfYnVkZ2V0LVRCT193ZWlnaHRlZCAoMykvVHlwZSBnZXdpanppZ2Que0NvbHVtbjI4MiwyODF9JnF1b3Q7LCZxdW90O1NlY3Rpb24xL21hcHBpbmdfYnVkZ2V0LVRCT193ZWlnaHRlZCAoMykvVHlwZSBnZXdpanppZ2Que0NvbHVtbjI4MywyODJ9JnF1b3Q7LCZxdW90O1NlY3Rpb24xL21hcHBpbmdfYnVkZ2V0LVRCT193ZWlnaHRlZCAoMykvVHlwZSBnZXdpanppZ2Que0NvbHVtbjI4NCwyODN9JnF1b3Q7LCZxdW90O1NlY3Rpb24xL21hcHBpbmdfYnVkZ2V0LVRCT193ZWlnaHRlZCAoMykvVHlwZSBnZXdpanppZ2Que0NvbHVtbjI4NSwyODR9JnF1b3Q7LCZxdW90O1NlY3Rpb24xL21hcHBpbmdfYnVkZ2V0LVRCT193ZWlnaHRlZCAoMykvVHlwZSBnZXdpanppZ2Que0NvbHVtbjI4NiwyODV9JnF1b3Q7LCZxdW90O1NlY3Rpb24xL21hcHBpbmdfYnVkZ2V0LVRCT193ZWlnaHRlZCAoMykvVHlwZSBnZXdpanppZ2Que0NvbHVtbjI4NywyODZ9JnF1b3Q7LCZxdW90O1NlY3Rpb24xL21hcHBpbmdfYnVkZ2V0LVRCT193ZWlnaHRlZCAoMykvVHlwZSBnZXdpanppZ2Que0NvbHVtbjI4OCwyODd9JnF1b3Q7LCZxdW90O1NlY3Rpb24xL21hcHBpbmdfYnVkZ2V0LVRCT193ZWlnaHRlZCAoMykvVHlwZSBnZXdpanppZ2Que0NvbHVtbjI4OSwyODh9JnF1b3Q7LCZxdW90O1NlY3Rpb24xL21hcHBpbmdfYnVkZ2V0LVRCT193ZWlnaHRlZCAoMykvVHlwZSBnZXdpanppZ2Que0NvbHVtbjI5MCwyODl9JnF1b3Q7LCZxdW90O1NlY3Rpb24xL21hcHBpbmdfYnVkZ2V0LVRCT193ZWlnaHRlZCAoMykvVHlwZSBnZXdpanppZ2Que0NvbHVtbjI5MSwyOTB9JnF1b3Q7LCZxdW90O1NlY3Rpb24xL21hcHBpbmdfYnVkZ2V0LVRCT193ZWlnaHRlZCAoMykvVHlwZSBnZXdpanppZ2Que0NvbHVtbjI5MiwyOTF9JnF1b3Q7LCZxdW90O1NlY3Rpb24xL21hcHBpbmdfYnVkZ2V0LVRCT193ZWlnaHRlZCAoMykvVHlwZSBnZXdpanppZ2Que0NvbHVtbjI5MywyOTJ9JnF1b3Q7LCZxdW90O1NlY3Rpb24xL21hcHBpbmdfYnVkZ2V0LVRCT193ZWlnaHRlZCAoMykvVHlwZSBnZXdpanppZ2Que0NvbHVtbjI5NCwyOTN9JnF1b3Q7LCZxdW90O1NlY3Rpb24xL21hcHBpbmdfYnVkZ2V0LVRCT193ZWlnaHRlZCAoMykvVHlwZSBnZXdpanppZ2Que0NvbHVtbjI5NSwyOTR9JnF1b3Q7LCZxdW90O1NlY3Rpb24xL21hcHBpbmdfYnVkZ2V0LVRCT193ZWlnaHRlZCAoMykvVHlwZSBnZXdpanppZ2Que0NvbHVtbjI5NiwyOTV9JnF1b3Q7LCZxdW90O1NlY3Rpb24xL21hcHBpbmdfYnVkZ2V0LVRCT193ZWlnaHRlZCAoMykvVHlwZSBnZXdpanppZ2Que0NvbHVtbjI5NywyOTZ9JnF1b3Q7LCZxdW90O1NlY3Rpb24xL21hcHBpbmdfYnVkZ2V0LVRCT193ZWlnaHRlZCAoMykvVHlwZSBnZXdpanppZ2Que0NvbHVtbjI5OCwyOTd9JnF1b3Q7LCZxdW90O1NlY3Rpb24xL21hcHBpbmdfYnVkZ2V0LVRCT193ZWlnaHRlZCAoMykvVHlwZSBnZXdpanppZ2Que0NvbHVtbjI5OSwyOTh9JnF1b3Q7LCZxdW90O1NlY3Rpb24xL21hcHBpbmdfYnVkZ2V0LVRCT193ZWlnaHRlZCAoMykvVHlwZSBnZXdpanppZ2Que0NvbHVtbjMwMCwyOTl9JnF1b3Q7LCZxdW90O1NlY3Rpb24xL21hcHBpbmdfYnVkZ2V0LVRCT193ZWlnaHRlZCAoMykvVHlwZSBnZXdpanppZ2Que0NvbHVtbjMwMSwzMDB9JnF1b3Q7LCZxdW90O1NlY3Rpb24xL21hcHBpbmdfYnVkZ2V0LVRCT193ZWlnaHRlZCAoMykvVHlwZSBnZXdpanppZ2Que0NvbHVtbjMwMiwzMDF9JnF1b3Q7LCZxdW90O1NlY3Rpb24xL21hcHBpbmdfYnVkZ2V0LVRCT193ZWlnaHRlZCAoMykvVHlwZSBnZXdpanppZ2Que0NvbHVtbjMwMywzMDJ9JnF1b3Q7LCZxdW90O1NlY3Rpb24xL21hcHBpbmdfYnVkZ2V0LVRCT193ZWlnaHRlZCAoMykvVHlwZSBnZXdpanppZ2Que0NvbHVtbjMwNCwzMDN9JnF1b3Q7LCZxdW90O1NlY3Rpb24xL21hcHBpbmdfYnVkZ2V0LVRCT193ZWlnaHRlZCAoMykvVHlwZSBnZXdpanppZ2Que0NvbHVtbjMwNSwzMDR9JnF1b3Q7LCZxdW90O1NlY3Rpb24xL21hcHBpbmdfYnVkZ2V0LVRCT193ZWlnaHRlZCAoMykvVHlwZSBnZXdpanppZ2Que0NvbHVtbjMwNiwzMDV9JnF1b3Q7LCZxdW90O1NlY3Rpb24xL21hcHBpbmdfYnVkZ2V0LVRCT193ZWlnaHRlZCAoMykvVHlwZSBnZXdpanppZ2Que0NvbHVtbjMwNywzMDZ9JnF1b3Q7LCZxdW90O1NlY3Rpb24xL21hcHBpbmdfYnVkZ2V0LVRCT193ZWlnaHRlZCAoMykvVHlwZSBnZXdpanppZ2Que0NvbHVtbjMwOCwzMDd9JnF1b3Q7LCZxdW90O1NlY3Rpb24xL21hcHBpbmdfYnVkZ2V0LVRCT193ZWlnaHRlZCAoMykvVHlwZSBnZXdpanppZ2Que0NvbHVtbjMwOSwzMDh9JnF1b3Q7LCZxdW90O1NlY3Rpb24xL21hcHBpbmdfYnVkZ2V0LVRCT193ZWlnaHRlZCAoMykvVHlwZSBnZXdpanppZ2Que0NvbHVtbjMxMCwzMDl9JnF1b3Q7LCZxdW90O1NlY3Rpb24xL21hcHBpbmdfYnVkZ2V0LVRCT193ZWlnaHRlZCAoMykvVHlwZSBnZXdpanppZ2Que0NvbHVtbjMxMSwzMTB9JnF1b3Q7LCZxdW90O1NlY3Rpb24xL21hcHBpbmdfYnVkZ2V0LVRCT193ZWlnaHRlZCAoMykvVHlwZSBnZXdpanppZ2Que0NvbHVtbjMxMiwzMTF9JnF1b3Q7LCZxdW90O1NlY3Rpb24xL21hcHBpbmdfYnVkZ2V0LVRCT193ZWlnaHRlZCAoMykvVHlwZSBnZXdpanppZ2Que0NvbHVtbjMxMywzMTJ9JnF1b3Q7LCZxdW90O1NlY3Rpb24xL21hcHBpbmdfYnVkZ2V0LVRCT193ZWlnaHRlZCAoMykvVHlwZSBnZXdpanppZ2Que0NvbHVtbjMxNCwzMTN9JnF1b3Q7LCZxdW90O1NlY3Rpb24xL21hcHBpbmdfYnVkZ2V0LVRCT193ZWlnaHRlZCAoMykvVHlwZSBnZXdpanppZ2Que0NvbHVtbjMxNSwzMTR9JnF1b3Q7LCZxdW90O1NlY3Rpb24xL21hcHBpbmdfYnVkZ2V0LVRCT193ZWlnaHRlZCAoMykvVHlwZSBnZXdpanppZ2Que0NvbHVtbjMxNiwzMTV9JnF1b3Q7LCZxdW90O1NlY3Rpb24xL21hcHBpbmdfYnVkZ2V0LVRCT193ZWlnaHRlZCAoMykvVHlwZSBnZXdpanppZ2Que0NvbHVtbjMxNywzMTZ9JnF1b3Q7XSwmcXVvdDtDb2x1bW5Db3VudCZxdW90OzozMTcsJnF1b3Q7S2V5Q29sdW1uTmFtZXMmcXVvdDs6W10sJnF1b3Q7Q29sdW1uSWRlbnRpdGllcyZxdW90OzpbJnF1b3Q7U2VjdGlvbjEvbWFwcGluZ19idWRnZXQtVEJPX3dlaWdodGVkICgzKS9UeXBlIGdld2lqemlnZC57Q29sdW1uMSwwfSZxdW90OywmcXVvdDtTZWN0aW9uMS9tYXBwaW5nX2J1ZGdldC1UQk9fd2VpZ2h0ZWQgKDMpL1R5cGUgZ2V3aWp6aWdkLntDb2x1bW4yLDF9JnF1b3Q7LCZxdW90O1NlY3Rpb24xL21hcHBpbmdfYnVkZ2V0LVRCT193ZWlnaHRlZCAoMykvVHlwZSBnZXdpanppZ2Que0NvbHVtbjMsMn0mcXVvdDssJnF1b3Q7U2VjdGlvbjEvbWFwcGluZ19idWRnZXQtVEJPX3dlaWdodGVkICgzKS9UeXBlIGdld2lqemlnZC57Q29sdW1uNCwzfSZxdW90OywmcXVvdDtTZWN0aW9uMS9tYXBwaW5nX2J1ZGdldC1UQk9fd2VpZ2h0ZWQgKDMpL1R5cGUgZ2V3aWp6aWdkLntDb2x1bW41LDR9JnF1b3Q7LCZxdW90O1NlY3Rpb24xL21hcHBpbmdfYnVkZ2V0LVRCT193ZWlnaHRlZCAoMykvVHlwZSBnZXdpanppZ2Que0NvbHVtbjYsNX0mcXVvdDssJnF1b3Q7U2VjdGlvbjEvbWFwcGluZ19idWRnZXQtVEJPX3dlaWdodGVkICgzKS9UeXBlIGdld2lqemlnZC57Q29sdW1uNyw2fSZxdW90OywmcXVvdDtTZWN0aW9uMS9tYXBwaW5nX2J1ZGdldC1UQk9fd2VpZ2h0ZWQgKDMpL1R5cGUgZ2V3aWp6aWdkLntDb2x1bW44LDd9JnF1b3Q7LCZxdW90O1NlY3Rpb24xL21hcHBpbmdfYnVkZ2V0LVRCT193ZWlnaHRlZCAoMykvVHlwZSBnZXdpanppZ2Que0NvbHVtbjksOH0mcXVvdDssJnF1b3Q7U2VjdGlvbjEvbWFwcGluZ19idWRnZXQtVEJPX3dlaWdodGVkICgzKS9UeXBlIGdld2lqemlnZC57Q29sdW1uMTAsOX0mcXVvdDssJnF1b3Q7U2VjdGlvbjEvbWFwcGluZ19idWRnZXQtVEJPX3dlaWdodGVkICgzKS9UeXBlIGdld2lqemlnZC57Q29sdW1uMTEsMTB9JnF1b3Q7LCZxdW90O1NlY3Rpb24xL21hcHBpbmdfYnVkZ2V0LVRCT193ZWlnaHRlZCAoMykvVHlwZSBnZXdpanppZ2Que0NvbHVtbjEyLDExfSZxdW90OywmcXVvdDtTZWN0aW9uMS9tYXBwaW5nX2J1ZGdldC1UQk9fd2VpZ2h0ZWQgKDMpL1R5cGUgZ2V3aWp6aWdkLntDb2x1bW4xMywxMn0mcXVvdDssJnF1b3Q7U2VjdGlvbjEvbWFwcGluZ19idWRnZXQtVEJPX3dlaWdodGVkICgzKS9UeXBlIGdld2lqemlnZC57Q29sdW1uMTQsMTN9JnF1b3Q7LCZxdW90O1NlY3Rpb24xL21hcHBpbmdfYnVkZ2V0LVRCT193ZWlnaHRlZCAoMykvVHlwZSBnZXdpanppZ2Que0NvbHVtbjE1LDE0fSZxdW90OywmcXVvdDtTZWN0aW9uMS9tYXBwaW5nX2J1ZGdldC1UQk9fd2VpZ2h0ZWQgKDMpL1R5cGUgZ2V3aWp6aWdkLntDb2x1bW4xNiwxNX0mcXVvdDssJnF1b3Q7U2VjdGlvbjEvbWFwcGluZ19idWRnZXQtVEJPX3dlaWdodGVkICgzKS9UeXBlIGdld2lqemlnZC57Q29sdW1uMTcsMTZ9JnF1b3Q7LCZxdW90O1NlY3Rpb24xL21hcHBpbmdfYnVkZ2V0LVRCT193ZWlnaHRlZCAoMykvVHlwZSBnZXdpanppZ2Que0NvbHVtbjE4LDE3fSZxdW90OywmcXVvdDtTZWN0aW9uMS9tYXBwaW5nX2J1ZGdldC1UQk9fd2VpZ2h0ZWQgKDMpL1R5cGUgZ2V3aWp6aWdkLntDb2x1bW4xOSwxOH0mcXVvdDssJnF1b3Q7U2VjdGlvbjEvbWFwcGluZ19idWRnZXQtVEJPX3dlaWdodGVkICgzKS9UeXBlIGdld2lqemlnZC57Q29sdW1uMjAsMTl9JnF1b3Q7LCZxdW90O1NlY3Rpb24xL21hcHBpbmdfYnVkZ2V0LVRCT193ZWlnaHRlZCAoMykvVHlwZSBnZXdpanppZ2Que0NvbHVtbjIxLDIwfSZxdW90OywmcXVvdDtTZWN0aW9uMS9tYXBwaW5nX2J1ZGdldC1UQk9fd2VpZ2h0ZWQgKDMpL1R5cGUgZ2V3aWp6aWdkLntDb2x1bW4yMiwyMX0mcXVvdDssJnF1b3Q7U2VjdGlvbjEvbWFwcGluZ19idWRnZXQtVEJPX3dlaWdodGVkICgzKS9UeXBlIGdld2lqemlnZC57Q29sdW1uMjMsMjJ9JnF1b3Q7LCZxdW90O1NlY3Rpb24xL21hcHBpbmdfYnVkZ2V0LVRCT193ZWlnaHRlZCAoMykvVHlwZSBnZXdpanppZ2Que0NvbHVtbjI0LDIzfSZxdW90OywmcXVvdDtTZWN0aW9uMS9tYXBwaW5nX2J1ZGdldC1UQk9fd2VpZ2h0ZWQgKDMpL1R5cGUgZ2V3aWp6aWdkLntDb2x1bW4yNSwyNH0mcXVvdDssJnF1b3Q7U2VjdGlvbjEvbWFwcGluZ19idWRnZXQtVEJPX3dlaWdodGVkICgzKS9UeXBlIGdld2lqemlnZC57Q29sdW1uMjYsMjV9JnF1b3Q7LCZxdW90O1NlY3Rpb24xL21hcHBpbmdfYnVkZ2V0LVRCT193ZWlnaHRlZCAoMykvVHlwZSBnZXdpanppZ2Que0NvbHVtbjI3LDI2fSZxdW90OywmcXVvdDtTZWN0aW9uMS9tYXBwaW5nX2J1ZGdldC1UQk9fd2VpZ2h0ZWQgKDMpL1R5cGUgZ2V3aWp6aWdkLntDb2x1bW4yOCwyN30mcXVvdDssJnF1b3Q7U2VjdGlvbjEvbWFwcGluZ19idWRnZXQtVEJPX3dlaWdodGVkICgzKS9UeXBlIGdld2lqemlnZC57Q29sdW1uMjksMjh9JnF1b3Q7LCZxdW90O1NlY3Rpb24xL21hcHBpbmdfYnVkZ2V0LVRCT193ZWlnaHRlZCAoMykvVHlwZSBnZXdpanppZ2Que0NvbHVtbjMwLDI5fSZxdW90OywmcXVvdDtTZWN0aW9uMS9tYXBwaW5nX2J1ZGdldC1UQk9fd2VpZ2h0ZWQgKDMpL1R5cGUgZ2V3aWp6aWdkLntDb2x1bW4zMSwzMH0mcXVvdDssJnF1b3Q7U2VjdGlvbjEvbWFwcGluZ19idWRnZXQtVEJPX3dlaWdodGVkICgzKS9UeXBlIGdld2lqemlnZC57Q29sdW1uMzIsMzF9JnF1b3Q7LCZxdW90O1NlY3Rpb24xL21hcHBpbmdfYnVkZ2V0LVRCT193ZWlnaHRlZCAoMykvVHlwZSBnZXdpanppZ2Que0NvbHVtbjMzLDMyfSZxdW90OywmcXVvdDtTZWN0aW9uMS9tYXBwaW5nX2J1ZGdldC1UQk9fd2VpZ2h0ZWQgKDMpL1R5cGUgZ2V3aWp6aWdkLntDb2x1bW4zNCwzM30mcXVvdDssJnF1b3Q7U2VjdGlvbjEvbWFwcGluZ19idWRnZXQtVEJPX3dlaWdodGVkICgzKS9UeXBlIGdld2lqemlnZC57Q29sdW1uMzUsMzR9JnF1b3Q7LCZxdW90O1NlY3Rpb24xL21hcHBpbmdfYnVkZ2V0LVRCT193ZWlnaHRlZCAoMykvVHlwZSBnZXdpanppZ2Que0NvbHVtbjM2LDM1fSZxdW90OywmcXVvdDtTZWN0aW9uMS9tYXBwaW5nX2J1ZGdldC1UQk9fd2VpZ2h0ZWQgKDMpL1R5cGUgZ2V3aWp6aWdkLntDb2x1bW4zNywzNn0mcXVvdDssJnF1b3Q7U2VjdGlvbjEvbWFwcGluZ19idWRnZXQtVEJPX3dlaWdodGVkICgzKS9UeXBlIGdld2lqemlnZC57Q29sdW1uMzgsMzd9JnF1b3Q7LCZxdW90O1NlY3Rpb24xL21hcHBpbmdfYnVkZ2V0LVRCT193ZWlnaHRlZCAoMykvVHlwZSBnZXdpanppZ2Que0NvbHVtbjM5LDM4fSZxdW90OywmcXVvdDtTZWN0aW9uMS9tYXBwaW5nX2J1ZGdldC1UQk9fd2VpZ2h0ZWQgKDMpL1R5cGUgZ2V3aWp6aWdkLntDb2x1bW40MCwzOX0mcXVvdDssJnF1b3Q7U2VjdGlvbjEvbWFwcGluZ19idWRnZXQtVEJPX3dlaWdodGVkICgzKS9UeXBlIGdld2lqemlnZC57Q29sdW1uNDEsNDB9JnF1b3Q7LCZxdW90O1NlY3Rpb24xL21hcHBpbmdfYnVkZ2V0LVRCT193ZWlnaHRlZCAoMykvVHlwZSBnZXdpanppZ2Que0NvbHVtbjQyLDQxfSZxdW90OywmcXVvdDtTZWN0aW9uMS9tYXBwaW5nX2J1ZGdldC1UQk9fd2VpZ2h0ZWQgKDMpL1R5cGUgZ2V3aWp6aWdkLntDb2x1bW40Myw0Mn0mcXVvdDssJnF1b3Q7U2VjdGlvbjEvbWFwcGluZ19idWRnZXQtVEJPX3dlaWdodGVkICgzKS9UeXBlIGdld2lqemlnZC57Q29sdW1uNDQsNDN9JnF1b3Q7LCZxdW90O1NlY3Rpb24xL21hcHBpbmdfYnVkZ2V0LVRCT193ZWlnaHRlZCAoMykvVHlwZSBnZXdpanppZ2Que0NvbHVtbjQ1LDQ0fSZxdW90OywmcXVvdDtTZWN0aW9uMS9tYXBwaW5nX2J1ZGdldC1UQk9fd2VpZ2h0ZWQgKDMpL1R5cGUgZ2V3aWp6aWdkLntDb2x1bW40Niw0NX0mcXVvdDssJnF1b3Q7U2VjdGlvbjEvbWFwcGluZ19idWRnZXQtVEJPX3dlaWdodGVkICgzKS9UeXBlIGdld2lqemlnZC57Q29sdW1uNDcsNDZ9JnF1b3Q7LCZxdW90O1NlY3Rpb24xL21hcHBpbmdfYnVkZ2V0LVRCT193ZWlnaHRlZCAoMykvVHlwZSBnZXdpanppZ2Que0NvbHVtbjQ4LDQ3fSZxdW90OywmcXVvdDtTZWN0aW9uMS9tYXBwaW5nX2J1ZGdldC1UQk9fd2VpZ2h0ZWQgKDMpL1R5cGUgZ2V3aWp6aWdkLntDb2x1bW40OSw0OH0mcXVvdDssJnF1b3Q7U2VjdGlvbjEvbWFwcGluZ19idWRnZXQtVEJPX3dlaWdodGVkICgzKS9UeXBlIGdld2lqemlnZC57Q29sdW1uNTAsNDl9JnF1b3Q7LCZxdW90O1NlY3Rpb24xL21hcHBpbmdfYnVkZ2V0LVRCT193ZWlnaHRlZCAoMykvVHlwZSBnZXdpanppZ2Que0NvbHVtbjUxLDUwfSZxdW90OywmcXVvdDtTZWN0aW9uMS9tYXBwaW5nX2J1ZGdldC1UQk9fd2VpZ2h0ZWQgKDMpL1R5cGUgZ2V3aWp6aWdkLntDb2x1bW41Miw1MX0mcXVvdDssJnF1b3Q7U2VjdGlvbjEvbWFwcGluZ19idWRnZXQtVEJPX3dlaWdodGVkICgzKS9UeXBlIGdld2lqemlnZC57Q29sdW1uNTMsNTJ9JnF1b3Q7LCZxdW90O1NlY3Rpb24xL21hcHBpbmdfYnVkZ2V0LVRCT193ZWlnaHRlZCAoMykvVHlwZSBnZXdpanppZ2Que0NvbHVtbjU0LDUzfSZxdW90OywmcXVvdDtTZWN0aW9uMS9tYXBwaW5nX2J1ZGdldC1UQk9fd2VpZ2h0ZWQgKDMpL1R5cGUgZ2V3aWp6aWdkLntDb2x1bW41NSw1NH0mcXVvdDssJnF1b3Q7U2VjdGlvbjEvbWFwcGluZ19idWRnZXQtVEJPX3dlaWdodGVkICgzKS9UeXBlIGdld2lqemlnZC57Q29sdW1uNTYsNTV9JnF1b3Q7LCZxdW90O1NlY3Rpb24xL21hcHBpbmdfYnVkZ2V0LVRCT193ZWlnaHRlZCAoMykvVHlwZSBnZXdpanppZ2Que0NvbHVtbjU3LDU2fSZxdW90OywmcXVvdDtTZWN0aW9uMS9tYXBwaW5nX2J1ZGdldC1UQk9fd2VpZ2h0ZWQgKDMpL1R5cGUgZ2V3aWp6aWdkLntDb2x1bW41OCw1N30mcXVvdDssJnF1b3Q7U2VjdGlvbjEvbWFwcGluZ19idWRnZXQtVEJPX3dlaWdodGVkICgzKS9UeXBlIGdld2lqemlnZC57Q29sdW1uNTksNTh9JnF1b3Q7LCZxdW90O1NlY3Rpb24xL21hcHBpbmdfYnVkZ2V0LVRCT193ZWlnaHRlZCAoMykvVHlwZSBnZXdpanppZ2Que0NvbHVtbjYwLDU5fSZxdW90OywmcXVvdDtTZWN0aW9uMS9tYXBwaW5nX2J1ZGdldC1UQk9fd2VpZ2h0ZWQgKDMpL1R5cGUgZ2V3aWp6aWdkLntDb2x1bW42MSw2MH0mcXVvdDssJnF1b3Q7U2VjdGlvbjEvbWFwcGluZ19idWRnZXQtVEJPX3dlaWdodGVkICgzKS9UeXBlIGdld2lqemlnZC57Q29sdW1uNjIsNjF9JnF1b3Q7LCZxdW90O1NlY3Rpb24xL21hcHBpbmdfYnVkZ2V0LVRCT193ZWlnaHRlZCAoMykvVHlwZSBnZXdpanppZ2Que0NvbHVtbjYzLDYyfSZxdW90OywmcXVvdDtTZWN0aW9uMS9tYXBwaW5nX2J1ZGdldC1UQk9fd2VpZ2h0ZWQgKDMpL1R5cGUgZ2V3aWp6aWdkLntDb2x1bW42NCw2M30mcXVvdDssJnF1b3Q7U2VjdGlvbjEvbWFwcGluZ19idWRnZXQtVEJPX3dlaWdodGVkICgzKS9UeXBlIGdld2lqemlnZC57Q29sdW1uNjUsNjR9JnF1b3Q7LCZxdW90O1NlY3Rpb24xL21hcHBpbmdfYnVkZ2V0LVRCT193ZWlnaHRlZCAoMykvVHlwZSBnZXdpanppZ2Que0NvbHVtbjY2LDY1fSZxdW90OywmcXVvdDtTZWN0aW9uMS9tYXBwaW5nX2J1ZGdldC1UQk9fd2VpZ2h0ZWQgKDMpL1R5cGUgZ2V3aWp6aWdkLntDb2x1bW42Nyw2Nn0mcXVvdDssJnF1b3Q7U2VjdGlvbjEvbWFwcGluZ19idWRnZXQtVEJPX3dlaWdodGVkICgzKS9UeXBlIGdld2lqemlnZC57Q29sdW1uNjgsNjd9JnF1b3Q7LCZxdW90O1NlY3Rpb24xL21hcHBpbmdfYnVkZ2V0LVRCT193ZWlnaHRlZCAoMykvVHlwZSBnZXdpanppZ2Que0NvbHVtbjY5LDY4fSZxdW90OywmcXVvdDtTZWN0aW9uMS9tYXBwaW5nX2J1ZGdldC1UQk9fd2VpZ2h0ZWQgKDMpL1R5cGUgZ2V3aWp6aWdkLntDb2x1bW43MCw2OX0mcXVvdDssJnF1b3Q7U2VjdGlvbjEvbWFwcGluZ19idWRnZXQtVEJPX3dlaWdodGVkICgzKS9UeXBlIGdld2lqemlnZC57Q29sdW1uNzEsNzB9JnF1b3Q7LCZxdW90O1NlY3Rpb24xL21hcHBpbmdfYnVkZ2V0LVRCT193ZWlnaHRlZCAoMykvVHlwZSBnZXdpanppZ2Que0NvbHVtbjcyLDcxfSZxdW90OywmcXVvdDtTZWN0aW9uMS9tYXBwaW5nX2J1ZGdldC1UQk9fd2VpZ2h0ZWQgKDMpL1R5cGUgZ2V3aWp6aWdkLntDb2x1bW43Myw3Mn0mcXVvdDssJnF1b3Q7U2VjdGlvbjEvbWFwcGluZ19idWRnZXQtVEJPX3dlaWdodGVkICgzKS9UeXBlIGdld2lqemlnZC57Q29sdW1uNzQsNzN9JnF1b3Q7LCZxdW90O1NlY3Rpb24xL21hcHBpbmdfYnVkZ2V0LVRCT193ZWlnaHRlZCAoMykvVHlwZSBnZXdpanppZ2Que0NvbHVtbjc1LDc0fSZxdW90OywmcXVvdDtTZWN0aW9uMS9tYXBwaW5nX2J1ZGdldC1UQk9fd2VpZ2h0ZWQgKDMpL1R5cGUgZ2V3aWp6aWdkLntDb2x1bW43Niw3NX0mcXVvdDssJnF1b3Q7U2VjdGlvbjEvbWFwcGluZ19idWRnZXQtVEJPX3dlaWdodGVkICgzKS9UeXBlIGdld2lqemlnZC57Q29sdW1uNzcsNzZ9JnF1b3Q7LCZxdW90O1NlY3Rpb24xL21hcHBpbmdfYnVkZ2V0LVRCT193ZWlnaHRlZCAoMykvVHlwZSBnZXdpanppZ2Que0NvbHVtbjc4LDc3fSZxdW90OywmcXVvdDtTZWN0aW9uMS9tYXBwaW5nX2J1ZGdldC1UQk9fd2VpZ2h0ZWQgKDMpL1R5cGUgZ2V3aWp6aWdkLntDb2x1bW43OSw3OH0mcXVvdDssJnF1b3Q7U2VjdGlvbjEvbWFwcGluZ19idWRnZXQtVEJPX3dlaWdodGVkICgzKS9UeXBlIGdld2lqemlnZC57Q29sdW1uODAsNzl9JnF1b3Q7LCZxdW90O1NlY3Rpb24xL21hcHBpbmdfYnVkZ2V0LVRCT193ZWlnaHRlZCAoMykvVHlwZSBnZXdpanppZ2Que0NvbHVtbjgxLDgwfSZxdW90OywmcXVvdDtTZWN0aW9uMS9tYXBwaW5nX2J1ZGdldC1UQk9fd2VpZ2h0ZWQgKDMpL1R5cGUgZ2V3aWp6aWdkLntDb2x1bW44Miw4MX0mcXVvdDssJnF1b3Q7U2VjdGlvbjEvbWFwcGluZ19idWRnZXQtVEJPX3dlaWdodGVkICgzKS9UeXBlIGdld2lqemlnZC57Q29sdW1uODMsODJ9JnF1b3Q7LCZxdW90O1NlY3Rpb24xL21hcHBpbmdfYnVkZ2V0LVRCT193ZWlnaHRlZCAoMykvVHlwZSBnZXdpanppZ2Que0NvbHVtbjg0LDgzfSZxdW90OywmcXVvdDtTZWN0aW9uMS9tYXBwaW5nX2J1ZGdldC1UQk9fd2VpZ2h0ZWQgKDMpL1R5cGUgZ2V3aWp6aWdkLntDb2x1bW44NSw4NH0mcXVvdDssJnF1b3Q7U2VjdGlvbjEvbWFwcGluZ19idWRnZXQtVEJPX3dlaWdodGVkICgzKS9UeXBlIGdld2lqemlnZC57Q29sdW1uODYsODV9JnF1b3Q7LCZxdW90O1NlY3Rpb24xL21hcHBpbmdfYnVkZ2V0LVRCT193ZWlnaHRlZCAoMykvVHlwZSBnZXdpanppZ2Que0NvbHVtbjg3LDg2fSZxdW90OywmcXVvdDtTZWN0aW9uMS9tYXBwaW5nX2J1ZGdldC1UQk9fd2VpZ2h0ZWQgKDMpL1R5cGUgZ2V3aWp6aWdkLntDb2x1bW44OCw4N30mcXVvdDssJnF1b3Q7U2VjdGlvbjEvbWFwcGluZ19idWRnZXQtVEJPX3dlaWdodGVkICgzKS9UeXBlIGdld2lqemlnZC57Q29sdW1uODksODh9JnF1b3Q7LCZxdW90O1NlY3Rpb24xL21hcHBpbmdfYnVkZ2V0LVRCT193ZWlnaHRlZCAoMykvVHlwZSBnZXdpanppZ2Que0NvbHVtbjkwLDg5fSZxdW90OywmcXVvdDtTZWN0aW9uMS9tYXBwaW5nX2J1ZGdldC1UQk9fd2VpZ2h0ZWQgKDMpL1R5cGUgZ2V3aWp6aWdkLntDb2x1bW45MSw5MH0mcXVvdDssJnF1b3Q7U2VjdGlvbjEvbWFwcGluZ19idWRnZXQtVEJPX3dlaWdodGVkICgzKS9UeXBlIGdld2lqemlnZC57Q29sdW1uOTIsOTF9JnF1b3Q7LCZxdW90O1NlY3Rpb24xL21hcHBpbmdfYnVkZ2V0LVRCT193ZWlnaHRlZCAoMykvVHlwZSBnZXdpanppZ2Que0NvbHVtbjkzLDkyfSZxdW90OywmcXVvdDtTZWN0aW9uMS9tYXBwaW5nX2J1ZGdldC1UQk9fd2VpZ2h0ZWQgKDMpL1R5cGUgZ2V3aWp6aWdkLntDb2x1bW45NCw5M30mcXVvdDssJnF1b3Q7U2VjdGlvbjEvbWFwcGluZ19idWRnZXQtVEJPX3dlaWdodGVkICgzKS9UeXBlIGdld2lqemlnZC57Q29sdW1uOTUsOTR9JnF1b3Q7LCZxdW90O1NlY3Rpb24xL21hcHBpbmdfYnVkZ2V0LVRCT193ZWlnaHRlZCAoMykvVHlwZSBnZXdpanppZ2Que0NvbHVtbjk2LDk1fSZxdW90OywmcXVvdDtTZWN0aW9uMS9tYXBwaW5nX2J1ZGdldC1UQk9fd2VpZ2h0ZWQgKDMpL1R5cGUgZ2V3aWp6aWdkLntDb2x1bW45Nyw5Nn0mcXVvdDssJnF1b3Q7U2VjdGlvbjEvbWFwcGluZ19idWRnZXQtVEJPX3dlaWdodGVkICgzKS9UeXBlIGdld2lqemlnZC57Q29sdW1uOTgsOTd9JnF1b3Q7LCZxdW90O1NlY3Rpb24xL21hcHBpbmdfYnVkZ2V0LVRCT193ZWlnaHRlZCAoMykvVHlwZSBnZXdpanppZ2Que0NvbHVtbjk5LDk4fSZxdW90OywmcXVvdDtTZWN0aW9uMS9tYXBwaW5nX2J1ZGdldC1UQk9fd2VpZ2h0ZWQgKDMpL1R5cGUgZ2V3aWp6aWdkLntDb2x1bW4xMDAsOTl9JnF1b3Q7LCZxdW90O1NlY3Rpb24xL21hcHBpbmdfYnVkZ2V0LVRCT193ZWlnaHRlZCAoMykvVHlwZSBnZXdpanppZ2Que0NvbHVtbjEwMSwxMDB9JnF1b3Q7LCZxdW90O1NlY3Rpb24xL21hcHBpbmdfYnVkZ2V0LVRCT193ZWlnaHRlZCAoMykvVHlwZSBnZXdpanppZ2Que0NvbHVtbjEwMiwxMDF9JnF1b3Q7LCZxdW90O1NlY3Rpb24xL21hcHBpbmdfYnVkZ2V0LVRCT193ZWlnaHRlZCAoMykvVHlwZSBnZXdpanppZ2Que0NvbHVtbjEwMywxMDJ9JnF1b3Q7LCZxdW90O1NlY3Rpb24xL21hcHBpbmdfYnVkZ2V0LVRCT193ZWlnaHRlZCAoMykvVHlwZSBnZXdpanppZ2Que0NvbHVtbjEwNCwxMDN9JnF1b3Q7LCZxdW90O1NlY3Rpb24xL21hcHBpbmdfYnVkZ2V0LVRCT193ZWlnaHRlZCAoMykvVHlwZSBnZXdpanppZ2Que0NvbHVtbjEwNSwxMDR9JnF1b3Q7LCZxdW90O1NlY3Rpb24xL21hcHBpbmdfYnVkZ2V0LVRCT193ZWlnaHRlZCAoMykvVHlwZSBnZXdpanppZ2Que0NvbHVtbjEwNiwxMDV9JnF1b3Q7LCZxdW90O1NlY3Rpb24xL21hcHBpbmdfYnVkZ2V0LVRCT193ZWlnaHRlZCAoMykvVHlwZSBnZXdpanppZ2Que0NvbHVtbjEwNywxMDZ9JnF1b3Q7LCZxdW90O1NlY3Rpb24xL21hcHBpbmdfYnVkZ2V0LVRCT193ZWlnaHRlZCAoMykvVHlwZSBnZXdpanppZ2Que0NvbHVtbjEwOCwxMDd9JnF1b3Q7LCZxdW90O1NlY3Rpb24xL21hcHBpbmdfYnVkZ2V0LVRCT193ZWlnaHRlZCAoMykvVHlwZSBnZXdpanppZ2Que0NvbHVtbjEwOSwxMDh9JnF1b3Q7LCZxdW90O1NlY3Rpb24xL21hcHBpbmdfYnVkZ2V0LVRCT193ZWlnaHRlZCAoMykvVHlwZSBnZXdpanppZ2Que0NvbHVtbjExMCwxMDl9JnF1b3Q7LCZxdW90O1NlY3Rpb24xL21hcHBpbmdfYnVkZ2V0LVRCT193ZWlnaHRlZCAoMykvVHlwZSBnZXdpanppZ2Que0NvbHVtbjExMSwxMTB9JnF1b3Q7LCZxdW90O1NlY3Rpb24xL21hcHBpbmdfYnVkZ2V0LVRCT193ZWlnaHRlZCAoMykvVHlwZSBnZXdpanppZ2Que0NvbHVtbjExMiwxMTF9JnF1b3Q7LCZxdW90O1NlY3Rpb24xL21hcHBpbmdfYnVkZ2V0LVRCT193ZWlnaHRlZCAoMykvVHlwZSBnZXdpanppZ2Que0NvbHVtbjExMywxMTJ9JnF1b3Q7LCZxdW90O1NlY3Rpb24xL21hcHBpbmdfYnVkZ2V0LVRCT193ZWlnaHRlZCAoMykvVHlwZSBnZXdpanppZ2Que0NvbHVtbjExNCwxMTN9JnF1b3Q7LCZxdW90O1NlY3Rpb24xL21hcHBpbmdfYnVkZ2V0LVRCT193ZWlnaHRlZCAoMykvVHlwZSBnZXdpanppZ2Que0NvbHVtbjExNSwxMTR9JnF1b3Q7LCZxdW90O1NlY3Rpb24xL21hcHBpbmdfYnVkZ2V0LVRCT193ZWlnaHRlZCAoMykvVHlwZSBnZXdpanppZ2Que0NvbHVtbjExNiwxMTV9JnF1b3Q7LCZxdW90O1NlY3Rpb24xL21hcHBpbmdfYnVkZ2V0LVRCT193ZWlnaHRlZCAoMykvVHlwZSBnZXdpanppZ2Que0NvbHVtbjExNywxMTZ9JnF1b3Q7LCZxdW90O1NlY3Rpb24xL21hcHBpbmdfYnVkZ2V0LVRCT193ZWlnaHRlZCAoMykvVHlwZSBnZXdpanppZ2Que0NvbHVtbjExOCwxMTd9JnF1b3Q7LCZxdW90O1NlY3Rpb24xL21hcHBpbmdfYnVkZ2V0LVRCT193ZWlnaHRlZCAoMykvVHlwZSBnZXdpanppZ2Que0NvbHVtbjExOSwxMTh9JnF1b3Q7LCZxdW90O1NlY3Rpb24xL21hcHBpbmdfYnVkZ2V0LVRCT193ZWlnaHRlZCAoMykvVHlwZSBnZXdpanppZ2Que0NvbHVtbjEyMCwxMTl9JnF1b3Q7LCZxdW90O1NlY3Rpb24xL21hcHBpbmdfYnVkZ2V0LVRCT193ZWlnaHRlZCAoMykvVHlwZSBnZXdpanppZ2Que0NvbHVtbjEyMSwxMjB9JnF1b3Q7LCZxdW90O1NlY3Rpb24xL21hcHBpbmdfYnVkZ2V0LVRCT193ZWlnaHRlZCAoMykvVHlwZSBnZXdpanppZ2Que0NvbHVtbjEyMiwxMjF9JnF1b3Q7LCZxdW90O1NlY3Rpb24xL21hcHBpbmdfYnVkZ2V0LVRCT193ZWlnaHRlZCAoMykvVHlwZSBnZXdpanppZ2Que0NvbHVtbjEyMywxMjJ9JnF1b3Q7LCZxdW90O1NlY3Rpb24xL21hcHBpbmdfYnVkZ2V0LVRCT193ZWlnaHRlZCAoMykvVHlwZSBnZXdpanppZ2Que0NvbHVtbjEyNCwxMjN9JnF1b3Q7LCZxdW90O1NlY3Rpb24xL21hcHBpbmdfYnVkZ2V0LVRCT193ZWlnaHRlZCAoMykvVHlwZSBnZXdpanppZ2Que0NvbHVtbjEyNSwxMjR9JnF1b3Q7LCZxdW90O1NlY3Rpb24xL21hcHBpbmdfYnVkZ2V0LVRCT193ZWlnaHRlZCAoMykvVHlwZSBnZXdpanppZ2Que0NvbHVtbjEyNiwxMjV9JnF1b3Q7LCZxdW90O1NlY3Rpb24xL21hcHBpbmdfYnVkZ2V0LVRCT193ZWlnaHRlZCAoMykvVHlwZSBnZXdpanppZ2Que0NvbHVtbjEyNywxMjZ9JnF1b3Q7LCZxdW90O1NlY3Rpb24xL21hcHBpbmdfYnVkZ2V0LVRCT193ZWlnaHRlZCAoMykvVHlwZSBnZXdpanppZ2Que0NvbHVtbjEyOCwxMjd9JnF1b3Q7LCZxdW90O1NlY3Rpb24xL21hcHBpbmdfYnVkZ2V0LVRCT193ZWlnaHRlZCAoMykvVHlwZSBnZXdpanppZ2Que0NvbHVtbjEyOSwxMjh9JnF1b3Q7LCZxdW90O1NlY3Rpb24xL21hcHBpbmdfYnVkZ2V0LVRCT193ZWlnaHRlZCAoMykvVHlwZSBnZXdpanppZ2Que0NvbHVtbjEzMCwxMjl9JnF1b3Q7LCZxdW90O1NlY3Rpb24xL21hcHBpbmdfYnVkZ2V0LVRCT193ZWlnaHRlZCAoMykvVHlwZSBnZXdpanppZ2Que0NvbHVtbjEzMSwxMzB9JnF1b3Q7LCZxdW90O1NlY3Rpb24xL21hcHBpbmdfYnVkZ2V0LVRCT193ZWlnaHRlZCAoMykvVHlwZSBnZXdpanppZ2Que0NvbHVtbjEzMiwxMzF9JnF1b3Q7LCZxdW90O1NlY3Rpb24xL21hcHBpbmdfYnVkZ2V0LVRCT193ZWlnaHRlZCAoMykvVHlwZSBnZXdpanppZ2Que0NvbHVtbjEzMywxMzJ9JnF1b3Q7LCZxdW90O1NlY3Rpb24xL21hcHBpbmdfYnVkZ2V0LVRCT193ZWlnaHRlZCAoMykvVHlwZSBnZXdpanppZ2Que0NvbHVtbjEzNCwxMzN9JnF1b3Q7LCZxdW90O1NlY3Rpb24xL21hcHBpbmdfYnVkZ2V0LVRCT193ZWlnaHRlZCAoMykvVHlwZSBnZXdpanppZ2Que0NvbHVtbjEzNSwxMzR9JnF1b3Q7LCZxdW90O1NlY3Rpb24xL21hcHBpbmdfYnVkZ2V0LVRCT193ZWlnaHRlZCAoMykvVHlwZSBnZXdpanppZ2Que0NvbHVtbjEzNiwxMzV9JnF1b3Q7LCZxdW90O1NlY3Rpb24xL21hcHBpbmdfYnVkZ2V0LVRCT193ZWlnaHRlZCAoMykvVHlwZSBnZXdpanppZ2Que0NvbHVtbjEzNywxMzZ9JnF1b3Q7LCZxdW90O1NlY3Rpb24xL21hcHBpbmdfYnVkZ2V0LVRCT193ZWlnaHRlZCAoMykvVHlwZSBnZXdpanppZ2Que0NvbHVtbjEzOCwxMzd9JnF1b3Q7LCZxdW90O1NlY3Rpb24xL21hcHBpbmdfYnVkZ2V0LVRCT193ZWlnaHRlZCAoMykvVHlwZSBnZXdpanppZ2Que0NvbHVtbjEzOSwxMzh9JnF1b3Q7LCZxdW90O1NlY3Rpb24xL21hcHBpbmdfYnVkZ2V0LVRCT193ZWlnaHRlZCAoMykvVHlwZSBnZXdpanppZ2Que0NvbHVtbjE0MCwxMzl9JnF1b3Q7LCZxdW90O1NlY3Rpb24xL21hcHBpbmdfYnVkZ2V0LVRCT193ZWlnaHRlZCAoMykvVHlwZSBnZXdpanppZ2Que0NvbHVtbjE0MSwxNDB9JnF1b3Q7LCZxdW90O1NlY3Rpb24xL21hcHBpbmdfYnVkZ2V0LVRCT193ZWlnaHRlZCAoMykvVHlwZSBnZXdpanppZ2Que0NvbHVtbjE0MiwxNDF9JnF1b3Q7LCZxdW90O1NlY3Rpb24xL21hcHBpbmdfYnVkZ2V0LVRCT193ZWlnaHRlZCAoMykvVHlwZSBnZXdpanppZ2Que0NvbHVtbjE0MywxNDJ9JnF1b3Q7LCZxdW90O1NlY3Rpb24xL21hcHBpbmdfYnVkZ2V0LVRCT193ZWlnaHRlZCAoMykvVHlwZSBnZXdpanppZ2Que0NvbHVtbjE0NCwxNDN9JnF1b3Q7LCZxdW90O1NlY3Rpb24xL21hcHBpbmdfYnVkZ2V0LVRCT193ZWlnaHRlZCAoMykvVHlwZSBnZXdpanppZ2Que0NvbHVtbjE0NSwxNDR9JnF1b3Q7LCZxdW90O1NlY3Rpb24xL21hcHBpbmdfYnVkZ2V0LVRCT193ZWlnaHRlZCAoMykvVHlwZSBnZXdpanppZ2Que0NvbHVtbjE0NiwxNDV9JnF1b3Q7LCZxdW90O1NlY3Rpb24xL21hcHBpbmdfYnVkZ2V0LVRCT193ZWlnaHRlZCAoMykvVHlwZSBnZXdpanppZ2Que0NvbHVtbjE0NywxNDZ9JnF1b3Q7LCZxdW90O1NlY3Rpb24xL21hcHBpbmdfYnVkZ2V0LVRCT193ZWlnaHRlZCAoMykvVHlwZSBnZXdpanppZ2Que0NvbHVtbjE0OCwxNDd9JnF1b3Q7LCZxdW90O1NlY3Rpb24xL21hcHBpbmdfYnVkZ2V0LVRCT193ZWlnaHRlZCAoMykvVHlwZSBnZXdpanppZ2Que0NvbHVtbjE0OSwxNDh9JnF1b3Q7LCZxdW90O1NlY3Rpb24xL21hcHBpbmdfYnVkZ2V0LVRCT193ZWlnaHRlZCAoMykvVHlwZSBnZXdpanppZ2Que0NvbHVtbjE1MCwxNDl9JnF1b3Q7LCZxdW90O1NlY3Rpb24xL21hcHBpbmdfYnVkZ2V0LVRCT193ZWlnaHRlZCAoMykvVHlwZSBnZXdpanppZ2Que0NvbHVtbjE1MSwxNTB9JnF1b3Q7LCZxdW90O1NlY3Rpb24xL21hcHBpbmdfYnVkZ2V0LVRCT193ZWlnaHRlZCAoMykvVHlwZSBnZXdpanppZ2Que0NvbHVtbjE1MiwxNTF9JnF1b3Q7LCZxdW90O1NlY3Rpb24xL21hcHBpbmdfYnVkZ2V0LVRCT193ZWlnaHRlZCAoMykvVHlwZSBnZXdpanppZ2Que0NvbHVtbjE1MywxNTJ9JnF1b3Q7LCZxdW90O1NlY3Rpb24xL21hcHBpbmdfYnVkZ2V0LVRCT193ZWlnaHRlZCAoMykvVHlwZSBnZXdpanppZ2Que0NvbHVtbjE1NCwxNTN9JnF1b3Q7LCZxdW90O1NlY3Rpb24xL21hcHBpbmdfYnVkZ2V0LVRCT193ZWlnaHRlZCAoMykvVHlwZSBnZXdpanppZ2Que0NvbHVtbjE1NSwxNTR9JnF1b3Q7LCZxdW90O1NlY3Rpb24xL21hcHBpbmdfYnVkZ2V0LVRCT193ZWlnaHRlZCAoMykvVHlwZSBnZXdpanppZ2Que0NvbHVtbjE1NiwxNTV9JnF1b3Q7LCZxdW90O1NlY3Rpb24xL21hcHBpbmdfYnVkZ2V0LVRCT193ZWlnaHRlZCAoMykvVHlwZSBnZXdpanppZ2Que0NvbHVtbjE1NywxNTZ9JnF1b3Q7LCZxdW90O1NlY3Rpb24xL21hcHBpbmdfYnVkZ2V0LVRCT193ZWlnaHRlZCAoMykvVHlwZSBnZXdpanppZ2Que0NvbHVtbjE1OCwxNTd9JnF1b3Q7LCZxdW90O1NlY3Rpb24xL21hcHBpbmdfYnVkZ2V0LVRCT193ZWlnaHRlZCAoMykvVHlwZSBnZXdpanppZ2Que0NvbHVtbjE1OSwxNTh9JnF1b3Q7LCZxdW90O1NlY3Rpb24xL21hcHBpbmdfYnVkZ2V0LVRCT193ZWlnaHRlZCAoMykvVHlwZSBnZXdpanppZ2Que0NvbHVtbjE2MCwxNTl9JnF1b3Q7LCZxdW90O1NlY3Rpb24xL21hcHBpbmdfYnVkZ2V0LVRCT193ZWlnaHRlZCAoMykvVHlwZSBnZXdpanppZ2Que0NvbHVtbjE2MSwxNjB9JnF1b3Q7LCZxdW90O1NlY3Rpb24xL21hcHBpbmdfYnVkZ2V0LVRCT193ZWlnaHRlZCAoMykvVHlwZSBnZXdpanppZ2Que0NvbHVtbjE2MiwxNjF9JnF1b3Q7LCZxdW90O1NlY3Rpb24xL21hcHBpbmdfYnVkZ2V0LVRCT193ZWlnaHRlZCAoMykvVHlwZSBnZXdpanppZ2Que0NvbHVtbjE2MywxNjJ9JnF1b3Q7LCZxdW90O1NlY3Rpb24xL21hcHBpbmdfYnVkZ2V0LVRCT193ZWlnaHRlZCAoMykvVHlwZSBnZXdpanppZ2Que0NvbHVtbjE2NCwxNjN9JnF1b3Q7LCZxdW90O1NlY3Rpb24xL21hcHBpbmdfYnVkZ2V0LVRCT193ZWlnaHRlZCAoMykvVHlwZSBnZXdpanppZ2Que0NvbHVtbjE2NSwxNjR9JnF1b3Q7LCZxdW90O1NlY3Rpb24xL21hcHBpbmdfYnVkZ2V0LVRCT193ZWlnaHRlZCAoMykvVHlwZSBnZXdpanppZ2Que0NvbHVtbjE2NiwxNjV9JnF1b3Q7LCZxdW90O1NlY3Rpb24xL21hcHBpbmdfYnVkZ2V0LVRCT193ZWlnaHRlZCAoMykvVHlwZSBnZXdpanppZ2Que0NvbHVtbjE2NywxNjZ9JnF1b3Q7LCZxdW90O1NlY3Rpb24xL21hcHBpbmdfYnVkZ2V0LVRCT193ZWlnaHRlZCAoMykvVHlwZSBnZXdpanppZ2Que0NvbHVtbjE2OCwxNjd9JnF1b3Q7LCZxdW90O1NlY3Rpb24xL21hcHBpbmdfYnVkZ2V0LVRCT193ZWlnaHRlZCAoMykvVHlwZSBnZXdpanppZ2Que0NvbHVtbjE2OSwxNjh9JnF1b3Q7LCZxdW90O1NlY3Rpb24xL21hcHBpbmdfYnVkZ2V0LVRCT193ZWlnaHRlZCAoMykvVHlwZSBnZXdpanppZ2Que0NvbHVtbjE3MCwxNjl9JnF1b3Q7LCZxdW90O1NlY3Rpb24xL21hcHBpbmdfYnVkZ2V0LVRCT193ZWlnaHRlZCAoMykvVHlwZSBnZXdpanppZ2Que0NvbHVtbjE3MSwxNzB9JnF1b3Q7LCZxdW90O1NlY3Rpb24xL21hcHBpbmdfYnVkZ2V0LVRCT193ZWlnaHRlZCAoMykvVHlwZSBnZXdpanppZ2Que0NvbHVtbjE3MiwxNzF9JnF1b3Q7LCZxdW90O1NlY3Rpb24xL21hcHBpbmdfYnVkZ2V0LVRCT193ZWlnaHRlZCAoMykvVHlwZSBnZXdpanppZ2Que0NvbHVtbjE3MywxNzJ9JnF1b3Q7LCZxdW90O1NlY3Rpb24xL21hcHBpbmdfYnVkZ2V0LVRCT193ZWlnaHRlZCAoMykvVHlwZSBnZXdpanppZ2Que0NvbHVtbjE3NCwxNzN9JnF1b3Q7LCZxdW90O1NlY3Rpb24xL21hcHBpbmdfYnVkZ2V0LVRCT193ZWlnaHRlZCAoMykvVHlwZSBnZXdpanppZ2Que0NvbHVtbjE3NSwxNzR9JnF1b3Q7LCZxdW90O1NlY3Rpb24xL21hcHBpbmdfYnVkZ2V0LVRCT193ZWlnaHRlZCAoMykvVHlwZSBnZXdpanppZ2Que0NvbHVtbjE3NiwxNzV9JnF1b3Q7LCZxdW90O1NlY3Rpb24xL21hcHBpbmdfYnVkZ2V0LVRCT193ZWlnaHRlZCAoMykvVHlwZSBnZXdpanppZ2Que0NvbHVtbjE3NywxNzZ9JnF1b3Q7LCZxdW90O1NlY3Rpb24xL21hcHBpbmdfYnVkZ2V0LVRCT193ZWlnaHRlZCAoMykvVHlwZSBnZXdpanppZ2Que0NvbHVtbjE3OCwxNzd9JnF1b3Q7LCZxdW90O1NlY3Rpb24xL21hcHBpbmdfYnVkZ2V0LVRCT193ZWlnaHRlZCAoMykvVHlwZSBnZXdpanppZ2Que0NvbHVtbjE3OSwxNzh9JnF1b3Q7LCZxdW90O1NlY3Rpb24xL21hcHBpbmdfYnVkZ2V0LVRCT193ZWlnaHRlZCAoMykvVHlwZSBnZXdpanppZ2Que0NvbHVtbjE4MCwxNzl9JnF1b3Q7LCZxdW90O1NlY3Rpb24xL21hcHBpbmdfYnVkZ2V0LVRCT193ZWlnaHRlZCAoMykvVHlwZSBnZXdpanppZ2Que0NvbHVtbjE4MSwxODB9JnF1b3Q7LCZxdW90O1NlY3Rpb24xL21hcHBpbmdfYnVkZ2V0LVRCT193ZWlnaHRlZCAoMykvVHlwZSBnZXdpanppZ2Que0NvbHVtbjE4MiwxODF9JnF1b3Q7LCZxdW90O1NlY3Rpb24xL21hcHBpbmdfYnVkZ2V0LVRCT193ZWlnaHRlZCAoMykvVHlwZSBnZXdpanppZ2Que0NvbHVtbjE4MywxODJ9JnF1b3Q7LCZxdW90O1NlY3Rpb24xL21hcHBpbmdfYnVkZ2V0LVRCT193ZWlnaHRlZCAoMykvVHlwZSBnZXdpanppZ2Que0NvbHVtbjE4NCwxODN9JnF1b3Q7LCZxdW90O1NlY3Rpb24xL21hcHBpbmdfYnVkZ2V0LVRCT193ZWlnaHRlZCAoMykvVHlwZSBnZXdpanppZ2Que0NvbHVtbjE4NSwxODR9JnF1b3Q7LCZxdW90O1NlY3Rpb24xL21hcHBpbmdfYnVkZ2V0LVRCT193ZWlnaHRlZCAoMykvVHlwZSBnZXdpanppZ2Que0NvbHVtbjE4NiwxODV9JnF1b3Q7LCZxdW90O1NlY3Rpb24xL21hcHBpbmdfYnVkZ2V0LVRCT193ZWlnaHRlZCAoMykvVHlwZSBnZXdpanppZ2Que0NvbHVtbjE4NywxODZ9JnF1b3Q7LCZxdW90O1NlY3Rpb24xL21hcHBpbmdfYnVkZ2V0LVRCT193ZWlnaHRlZCAoMykvVHlwZSBnZXdpanppZ2Que0NvbHVtbjE4OCwxODd9JnF1b3Q7LCZxdW90O1NlY3Rpb24xL21hcHBpbmdfYnVkZ2V0LVRCT193ZWlnaHRlZCAoMykvVHlwZSBnZXdpanppZ2Que0NvbHVtbjE4OSwxODh9JnF1b3Q7LCZxdW90O1NlY3Rpb24xL21hcHBpbmdfYnVkZ2V0LVRCT193ZWlnaHRlZCAoMykvVHlwZSBnZXdpanppZ2Que0NvbHVtbjE5MCwxODl9JnF1b3Q7LCZxdW90O1NlY3Rpb24xL21hcHBpbmdfYnVkZ2V0LVRCT193ZWlnaHRlZCAoMykvVHlwZSBnZXdpanppZ2Que0NvbHVtbjE5MSwxOTB9JnF1b3Q7LCZxdW90O1NlY3Rpb24xL21hcHBpbmdfYnVkZ2V0LVRCT193ZWlnaHRlZCAoMykvVHlwZSBnZXdpanppZ2Que0NvbHVtbjE5MiwxOTF9JnF1b3Q7LCZxdW90O1NlY3Rpb24xL21hcHBpbmdfYnVkZ2V0LVRCT193ZWlnaHRlZCAoMykvVHlwZSBnZXdpanppZ2Que0NvbHVtbjE5MywxOTJ9JnF1b3Q7LCZxdW90O1NlY3Rpb24xL21hcHBpbmdfYnVkZ2V0LVRCT193ZWlnaHRlZCAoMykvVHlwZSBnZXdpanppZ2Que0NvbHVtbjE5NCwxOTN9JnF1b3Q7LCZxdW90O1NlY3Rpb24xL21hcHBpbmdfYnVkZ2V0LVRCT193ZWlnaHRlZCAoMykvVHlwZSBnZXdpanppZ2Que0NvbHVtbjE5NSwxOTR9JnF1b3Q7LCZxdW90O1NlY3Rpb24xL21hcHBpbmdfYnVkZ2V0LVRCT193ZWlnaHRlZCAoMykvVHlwZSBnZXdpanppZ2Que0NvbHVtbjE5NiwxOTV9JnF1b3Q7LCZxdW90O1NlY3Rpb24xL21hcHBpbmdfYnVkZ2V0LVRCT193ZWlnaHRlZCAoMykvVHlwZSBnZXdpanppZ2Que0NvbHVtbjE5NywxOTZ9JnF1b3Q7LCZxdW90O1NlY3Rpb24xL21hcHBpbmdfYnVkZ2V0LVRCT193ZWlnaHRlZCAoMykvVHlwZSBnZXdpanppZ2Que0NvbHVtbjE5OCwxOTd9JnF1b3Q7LCZxdW90O1NlY3Rpb24xL21hcHBpbmdfYnVkZ2V0LVRCT193ZWlnaHRlZCAoMykvVHlwZSBnZXdpanppZ2Que0NvbHVtbjE5OSwxOTh9JnF1b3Q7LCZxdW90O1NlY3Rpb24xL21hcHBpbmdfYnVkZ2V0LVRCT193ZWlnaHRlZCAoMykvVHlwZSBnZXdpanppZ2Que0NvbHVtbjIwMCwxOTl9JnF1b3Q7LCZxdW90O1NlY3Rpb24xL21hcHBpbmdfYnVkZ2V0LVRCT193ZWlnaHRlZCAoMykvVHlwZSBnZXdpanppZ2Que0NvbHVtbjIwMSwyMDB9JnF1b3Q7LCZxdW90O1NlY3Rpb24xL21hcHBpbmdfYnVkZ2V0LVRCT193ZWlnaHRlZCAoMykvVHlwZSBnZXdpanppZ2Que0NvbHVtbjIwMiwyMDF9JnF1b3Q7LCZxdW90O1NlY3Rpb24xL21hcHBpbmdfYnVkZ2V0LVRCT193ZWlnaHRlZCAoMykvVHlwZSBnZXdpanppZ2Que0NvbHVtbjIwMywyMDJ9JnF1b3Q7LCZxdW90O1NlY3Rpb24xL21hcHBpbmdfYnVkZ2V0LVRCT193ZWlnaHRlZCAoMykvVHlwZSBnZXdpanppZ2Que0NvbHVtbjIwNCwyMDN9JnF1b3Q7LCZxdW90O1NlY3Rpb24xL21hcHBpbmdfYnVkZ2V0LVRCT193ZWlnaHRlZCAoMykvVHlwZSBnZXdpanppZ2Que0NvbHVtbjIwNSwyMDR9JnF1b3Q7LCZxdW90O1NlY3Rpb24xL21hcHBpbmdfYnVkZ2V0LVRCT193ZWlnaHRlZCAoMykvVHlwZSBnZXdpanppZ2Que0NvbHVtbjIwNiwyMDV9JnF1b3Q7LCZxdW90O1NlY3Rpb24xL21hcHBpbmdfYnVkZ2V0LVRCT193ZWlnaHRlZCAoMykvVHlwZSBnZXdpanppZ2Que0NvbHVtbjIwNywyMDZ9JnF1b3Q7LCZxdW90O1NlY3Rpb24xL21hcHBpbmdfYnVkZ2V0LVRCT193ZWlnaHRlZCAoMykvVHlwZSBnZXdpanppZ2Que0NvbHVtbjIwOCwyMDd9JnF1b3Q7LCZxdW90O1NlY3Rpb24xL21hcHBpbmdfYnVkZ2V0LVRCT193ZWlnaHRlZCAoMykvVHlwZSBnZXdpanppZ2Que0NvbHVtbjIwOSwyMDh9JnF1b3Q7LCZxdW90O1NlY3Rpb24xL21hcHBpbmdfYnVkZ2V0LVRCT193ZWlnaHRlZCAoMykvVHlwZSBnZXdpanppZ2Que0NvbHVtbjIxMCwyMDl9JnF1b3Q7LCZxdW90O1NlY3Rpb24xL21hcHBpbmdfYnVkZ2V0LVRCT193ZWlnaHRlZCAoMykvVHlwZSBnZXdpanppZ2Que0NvbHVtbjIxMSwyMTB9JnF1b3Q7LCZxdW90O1NlY3Rpb24xL21hcHBpbmdfYnVkZ2V0LVRCT193ZWlnaHRlZCAoMykvVHlwZSBnZXdpanppZ2Que0NvbHVtbjIxMiwyMTF9JnF1b3Q7LCZxdW90O1NlY3Rpb24xL21hcHBpbmdfYnVkZ2V0LVRCT193ZWlnaHRlZCAoMykvVHlwZSBnZXdpanppZ2Que0NvbHVtbjIxMywyMTJ9JnF1b3Q7LCZxdW90O1NlY3Rpb24xL21hcHBpbmdfYnVkZ2V0LVRCT193ZWlnaHRlZCAoMykvVHlwZSBnZXdpanppZ2Que0NvbHVtbjIxNCwyMTN9JnF1b3Q7LCZxdW90O1NlY3Rpb24xL21hcHBpbmdfYnVkZ2V0LVRCT193ZWlnaHRlZCAoMykvVHlwZSBnZXdpanppZ2Que0NvbHVtbjIxNSwyMTR9JnF1b3Q7LCZxdW90O1NlY3Rpb24xL21hcHBpbmdfYnVkZ2V0LVRCT193ZWlnaHRlZCAoMykvVHlwZSBnZXdpanppZ2Que0NvbHVtbjIxNiwyMTV9JnF1b3Q7LCZxdW90O1NlY3Rpb24xL21hcHBpbmdfYnVkZ2V0LVRCT193ZWlnaHRlZCAoMykvVHlwZSBnZXdpanppZ2Que0NvbHVtbjIxNywyMTZ9JnF1b3Q7LCZxdW90O1NlY3Rpb24xL21hcHBpbmdfYnVkZ2V0LVRCT193ZWlnaHRlZCAoMykvVHlwZSBnZXdpanppZ2Que0NvbHVtbjIxOCwyMTd9JnF1b3Q7LCZxdW90O1NlY3Rpb24xL21hcHBpbmdfYnVkZ2V0LVRCT193ZWlnaHRlZCAoMykvVHlwZSBnZXdpanppZ2Que0NvbHVtbjIxOSwyMTh9JnF1b3Q7LCZxdW90O1NlY3Rpb24xL21hcHBpbmdfYnVkZ2V0LVRCT193ZWlnaHRlZCAoMykvVHlwZSBnZXdpanppZ2Que0NvbHVtbjIyMCwyMTl9JnF1b3Q7LCZxdW90O1NlY3Rpb24xL21hcHBpbmdfYnVkZ2V0LVRCT193ZWlnaHRlZCAoMykvVHlwZSBnZXdpanppZ2Que0NvbHVtbjIyMSwyMjB9JnF1b3Q7LCZxdW90O1NlY3Rpb24xL21hcHBpbmdfYnVkZ2V0LVRCT193ZWlnaHRlZCAoMykvVHlwZSBnZXdpanppZ2Que0NvbHVtbjIyMiwyMjF9JnF1b3Q7LCZxdW90O1NlY3Rpb24xL21hcHBpbmdfYnVkZ2V0LVRCT193ZWlnaHRlZCAoMykvVHlwZSBnZXdpanppZ2Que0NvbHVtbjIyMywyMjJ9JnF1b3Q7LCZxdW90O1NlY3Rpb24xL21hcHBpbmdfYnVkZ2V0LVRCT193ZWlnaHRlZCAoMykvVHlwZSBnZXdpanppZ2Que0NvbHVtbjIyNCwyMjN9JnF1b3Q7LCZxdW90O1NlY3Rpb24xL21hcHBpbmdfYnVkZ2V0LVRCT193ZWlnaHRlZCAoMykvVHlwZSBnZXdpanppZ2Que0NvbHVtbjIyNSwyMjR9JnF1b3Q7LCZxdW90O1NlY3Rpb24xL21hcHBpbmdfYnVkZ2V0LVRCT193ZWlnaHRlZCAoMykvVHlwZSBnZXdpanppZ2Que0NvbHVtbjIyNiwyMjV9JnF1b3Q7LCZxdW90O1NlY3Rpb24xL21hcHBpbmdfYnVkZ2V0LVRCT193ZWlnaHRlZCAoMykvVHlwZSBnZXdpanppZ2Que0NvbHVtbjIyNywyMjZ9JnF1b3Q7LCZxdW90O1NlY3Rpb24xL21hcHBpbmdfYnVkZ2V0LVRCT193ZWlnaHRlZCAoMykvVHlwZSBnZXdpanppZ2Que0NvbHVtbjIyOCwyMjd9JnF1b3Q7LCZxdW90O1NlY3Rpb24xL21hcHBpbmdfYnVkZ2V0LVRCT193ZWlnaHRlZCAoMykvVHlwZSBnZXdpanppZ2Que0NvbHVtbjIyOSwyMjh9JnF1b3Q7LCZxdW90O1NlY3Rpb24xL21hcHBpbmdfYnVkZ2V0LVRCT193ZWlnaHRlZCAoMykvVHlwZSBnZXdpanppZ2Que0NvbHVtbjIzMCwyMjl9JnF1b3Q7LCZxdW90O1NlY3Rpb24xL21hcHBpbmdfYnVkZ2V0LVRCT193ZWlnaHRlZCAoMykvVHlwZSBnZXdpanppZ2Que0NvbHVtbjIzMSwyMzB9JnF1b3Q7LCZxdW90O1NlY3Rpb24xL21hcHBpbmdfYnVkZ2V0LVRCT193ZWlnaHRlZCAoMykvVHlwZSBnZXdpanppZ2Que0NvbHVtbjIzMiwyMzF9JnF1b3Q7LCZxdW90O1NlY3Rpb24xL21hcHBpbmdfYnVkZ2V0LVRCT193ZWlnaHRlZCAoMykvVHlwZSBnZXdpanppZ2Que0NvbHVtbjIzMywyMzJ9JnF1b3Q7LCZxdW90O1NlY3Rpb24xL21hcHBpbmdfYnVkZ2V0LVRCT193ZWlnaHRlZCAoMykvVHlwZSBnZXdpanppZ2Que0NvbHVtbjIzNCwyMzN9JnF1b3Q7LCZxdW90O1NlY3Rpb24xL21hcHBpbmdfYnVkZ2V0LVRCT193ZWlnaHRlZCAoMykvVHlwZSBnZXdpanppZ2Que0NvbHVtbjIzNSwyMzR9JnF1b3Q7LCZxdW90O1NlY3Rpb24xL21hcHBpbmdfYnVkZ2V0LVRCT193ZWlnaHRlZCAoMykvVHlwZSBnZXdpanppZ2Que0NvbHVtbjIzNiwyMzV9JnF1b3Q7LCZxdW90O1NlY3Rpb24xL21hcHBpbmdfYnVkZ2V0LVRCT193ZWlnaHRlZCAoMykvVHlwZSBnZXdpanppZ2Que0NvbHVtbjIzNywyMzZ9JnF1b3Q7LCZxdW90O1NlY3Rpb24xL21hcHBpbmdfYnVkZ2V0LVRCT193ZWlnaHRlZCAoMykvVHlwZSBnZXdpanppZ2Que0NvbHVtbjIzOCwyMzd9JnF1b3Q7LCZxdW90O1NlY3Rpb24xL21hcHBpbmdfYnVkZ2V0LVRCT193ZWlnaHRlZCAoMykvVHlwZSBnZXdpanppZ2Que0NvbHVtbjIzOSwyMzh9JnF1b3Q7LCZxdW90O1NlY3Rpb24xL21hcHBpbmdfYnVkZ2V0LVRCT193ZWlnaHRlZCAoMykvVHlwZSBnZXdpanppZ2Que0NvbHVtbjI0MCwyMzl9JnF1b3Q7LCZxdW90O1NlY3Rpb24xL21hcHBpbmdfYnVkZ2V0LVRCT193ZWlnaHRlZCAoMykvVHlwZSBnZXdpanppZ2Que0NvbHVtbjI0MSwyNDB9JnF1b3Q7LCZxdW90O1NlY3Rpb24xL21hcHBpbmdfYnVkZ2V0LVRCT193ZWlnaHRlZCAoMykvVHlwZSBnZXdpanppZ2Que0NvbHVtbjI0MiwyNDF9JnF1b3Q7LCZxdW90O1NlY3Rpb24xL21hcHBpbmdfYnVkZ2V0LVRCT193ZWlnaHRlZCAoMykvVHlwZSBnZXdpanppZ2Que0NvbHVtbjI0MywyNDJ9JnF1b3Q7LCZxdW90O1NlY3Rpb24xL21hcHBpbmdfYnVkZ2V0LVRCT193ZWlnaHRlZCAoMykvVHlwZSBnZXdpanppZ2Que0NvbHVtbjI0NCwyNDN9JnF1b3Q7LCZxdW90O1NlY3Rpb24xL21hcHBpbmdfYnVkZ2V0LVRCT193ZWlnaHRlZCAoMykvVHlwZSBnZXdpanppZ2Que0NvbHVtbjI0NSwyNDR9JnF1b3Q7LCZxdW90O1NlY3Rpb24xL21hcHBpbmdfYnVkZ2V0LVRCT193ZWlnaHRlZCAoMykvVHlwZSBnZXdpanppZ2Que0NvbHVtbjI0NiwyNDV9JnF1b3Q7LCZxdW90O1NlY3Rpb24xL21hcHBpbmdfYnVkZ2V0LVRCT193ZWlnaHRlZCAoMykvVHlwZSBnZXdpanppZ2Que0NvbHVtbjI0NywyNDZ9JnF1b3Q7LCZxdW90O1NlY3Rpb24xL21hcHBpbmdfYnVkZ2V0LVRCT193ZWlnaHRlZCAoMykvVHlwZSBnZXdpanppZ2Que0NvbHVtbjI0OCwyNDd9JnF1b3Q7LCZxdW90O1NlY3Rpb24xL21hcHBpbmdfYnVkZ2V0LVRCT193ZWlnaHRlZCAoMykvVHlwZSBnZXdpanppZ2Que0NvbHVtbjI0OSwyNDh9JnF1b3Q7LCZxdW90O1NlY3Rpb24xL21hcHBpbmdfYnVkZ2V0LVRCT193ZWlnaHRlZCAoMykvVHlwZSBnZXdpanppZ2Que0NvbHVtbjI1MCwyNDl9JnF1b3Q7LCZxdW90O1NlY3Rpb24xL21hcHBpbmdfYnVkZ2V0LVRCT193ZWlnaHRlZCAoMykvVHlwZSBnZXdpanppZ2Que0NvbHVtbjI1MSwyNTB9JnF1b3Q7LCZxdW90O1NlY3Rpb24xL21hcHBpbmdfYnVkZ2V0LVRCT193ZWlnaHRlZCAoMykvVHlwZSBnZXdpanppZ2Que0NvbHVtbjI1MiwyNTF9JnF1b3Q7LCZxdW90O1NlY3Rpb24xL21hcHBpbmdfYnVkZ2V0LVRCT193ZWlnaHRlZCAoMykvVHlwZSBnZXdpanppZ2Que0NvbHVtbjI1MywyNTJ9JnF1b3Q7LCZxdW90O1NlY3Rpb24xL21hcHBpbmdfYnVkZ2V0LVRCT193ZWlnaHRlZCAoMykvVHlwZSBnZXdpanppZ2Que0NvbHVtbjI1NCwyNTN9JnF1b3Q7LCZxdW90O1NlY3Rpb24xL21hcHBpbmdfYnVkZ2V0LVRCT193ZWlnaHRlZCAoMykvVHlwZSBnZXdpanppZ2Que0NvbHVtbjI1NSwyNTR9JnF1b3Q7LCZxdW90O1NlY3Rpb24xL21hcHBpbmdfYnVkZ2V0LVRCT193ZWlnaHRlZCAoMykvVHlwZSBnZXdpanppZ2Que0NvbHVtbjI1NiwyNTV9JnF1b3Q7LCZxdW90O1NlY3Rpb24xL21hcHBpbmdfYnVkZ2V0LVRCT193ZWlnaHRlZCAoMykvVHlwZSBnZXdpanppZ2Que0NvbHVtbjI1NywyNTZ9JnF1b3Q7LCZxdW90O1NlY3Rpb24xL21hcHBpbmdfYnVkZ2V0LVRCT193ZWlnaHRlZCAoMykvVHlwZSBnZXdpanppZ2Que0NvbHVtbjI1OCwyNTd9JnF1b3Q7LCZxdW90O1NlY3Rpb24xL21hcHBpbmdfYnVkZ2V0LVRCT193ZWlnaHRlZCAoMykvVHlwZSBnZXdpanppZ2Que0NvbHVtbjI1OSwyNTh9JnF1b3Q7LCZxdW90O1NlY3Rpb24xL21hcHBpbmdfYnVkZ2V0LVRCT193ZWlnaHRlZCAoMykvVHlwZSBnZXdpanppZ2Que0NvbHVtbjI2MCwyNTl9JnF1b3Q7LCZxdW90O1NlY3Rpb24xL21hcHBpbmdfYnVkZ2V0LVRCT193ZWlnaHRlZCAoMykvVHlwZSBnZXdpanppZ2Que0NvbHVtbjI2MSwyNjB9JnF1b3Q7LCZxdW90O1NlY3Rpb24xL21hcHBpbmdfYnVkZ2V0LVRCT193ZWlnaHRlZCAoMykvVHlwZSBnZXdpanppZ2Que0NvbHVtbjI2MiwyNjF9JnF1b3Q7LCZxdW90O1NlY3Rpb24xL21hcHBpbmdfYnVkZ2V0LVRCT193ZWlnaHRlZCAoMykvVHlwZSBnZXdpanppZ2Que0NvbHVtbjI2MywyNjJ9JnF1b3Q7LCZxdW90O1NlY3Rpb24xL21hcHBpbmdfYnVkZ2V0LVRCT193ZWlnaHRlZCAoMykvVHlwZSBnZXdpanppZ2Que0NvbHVtbjI2NCwyNjN9JnF1b3Q7LCZxdW90O1NlY3Rpb24xL21hcHBpbmdfYnVkZ2V0LVRCT193ZWlnaHRlZCAoMykvVHlwZSBnZXdpanppZ2Que0NvbHVtbjI2NSwyNjR9JnF1b3Q7LCZxdW90O1NlY3Rpb24xL21hcHBpbmdfYnVkZ2V0LVRCT193ZWlnaHRlZCAoMykvVHlwZSBnZXdpanppZ2Que0NvbHVtbjI2NiwyNjV9JnF1b3Q7LCZxdW90O1NlY3Rpb24xL21hcHBpbmdfYnVkZ2V0LVRCT193ZWlnaHRlZCAoMykvVHlwZSBnZXdpanppZ2Que0NvbHVtbjI2NywyNjZ9JnF1b3Q7LCZxdW90O1NlY3Rpb24xL21hcHBpbmdfYnVkZ2V0LVRCT193ZWlnaHRlZCAoMykvVHlwZSBnZXdpanppZ2Que0NvbHVtbjI2OCwyNjd9JnF1b3Q7LCZxdW90O1NlY3Rpb24xL21hcHBpbmdfYnVkZ2V0LVRCT193ZWlnaHRlZCAoMykvVHlwZSBnZXdpanppZ2Que0NvbHVtbjI2OSwyNjh9JnF1b3Q7LCZxdW90O1NlY3Rpb24xL21hcHBpbmdfYnVkZ2V0LVRCT193ZWlnaHRlZCAoMykvVHlwZSBnZXdpanppZ2Que0NvbHVtbjI3MCwyNjl9JnF1b3Q7LCZxdW90O1NlY3Rpb24xL21hcHBpbmdfYnVkZ2V0LVRCT193ZWlnaHRlZCAoMykvVHlwZSBnZXdpanppZ2Que0NvbHVtbjI3MSwyNzB9JnF1b3Q7LCZxdW90O1NlY3Rpb24xL21hcHBpbmdfYnVkZ2V0LVRCT193ZWlnaHRlZCAoMykvVHlwZSBnZXdpanppZ2Que0NvbHVtbjI3MiwyNzF9JnF1b3Q7LCZxdW90O1NlY3Rpb24xL21hcHBpbmdfYnVkZ2V0LVRCT193ZWlnaHRlZCAoMykvVHlwZSBnZXdpanppZ2Que0NvbHVtbjI3MywyNzJ9JnF1b3Q7LCZxdW90O1NlY3Rpb24xL21hcHBpbmdfYnVkZ2V0LVRCT193ZWlnaHRlZCAoMykvVHlwZSBnZXdpanppZ2Que0NvbHVtbjI3NCwyNzN9JnF1b3Q7LCZxdW90O1NlY3Rpb24xL21hcHBpbmdfYnVkZ2V0LVRCT193ZWlnaHRlZCAoMykvVHlwZSBnZXdpanppZ2Que0NvbHVtbjI3NSwyNzR9JnF1b3Q7LCZxdW90O1NlY3Rpb24xL21hcHBpbmdfYnVkZ2V0LVRCT193ZWlnaHRlZCAoMykvVHlwZSBnZXdpanppZ2Que0NvbHVtbjI3NiwyNzV9JnF1b3Q7LCZxdW90O1NlY3Rpb24xL21hcHBpbmdfYnVkZ2V0LVRCT193ZWlnaHRlZCAoMykvVHlwZSBnZXdpanppZ2Que0NvbHVtbjI3NywyNzZ9JnF1b3Q7LCZxdW90O1NlY3Rpb24xL21hcHBpbmdfYnVkZ2V0LVRCT193ZWlnaHRlZCAoMykvVHlwZSBnZXdpanppZ2Que0NvbHVtbjI3OCwyNzd9JnF1b3Q7LCZxdW90O1NlY3Rpb24xL21hcHBpbmdfYnVkZ2V0LVRCT193ZWlnaHRlZCAoMykvVHlwZSBnZXdpanppZ2Que0NvbHVtbjI3OSwyNzh9JnF1b3Q7LCZxdW90O1NlY3Rpb24xL21hcHBpbmdfYnVkZ2V0LVRCT193ZWlnaHRlZCAoMykvVHlwZSBnZXdpanppZ2Que0NvbHVtbjI4MCwyNzl9JnF1b3Q7LCZxdW90O1NlY3Rpb24xL21hcHBpbmdfYnVkZ2V0LVRCT193ZWlnaHRlZCAoMykvVHlwZSBnZXdpanppZ2Que0NvbHVtbjI4MSwyODB9JnF1b3Q7LCZxdW90O1NlY3Rpb24xL21hcHBpbmdfYnVkZ2V0LVRCT193ZWlnaHRlZCAoMykvVHlwZSBnZXdpanppZ2Que0NvbHVtbjI4MiwyODF9JnF1b3Q7LCZxdW90O1NlY3Rpb24xL21hcHBpbmdfYnVkZ2V0LVRCT193ZWlnaHRlZCAoMykvVHlwZSBnZXdpanppZ2Que0NvbHVtbjI4MywyODJ9JnF1b3Q7LCZxdW90O1NlY3Rpb24xL21hcHBpbmdfYnVkZ2V0LVRCT193ZWlnaHRlZCAoMykvVHlwZSBnZXdpanppZ2Que0NvbHVtbjI4NCwyODN9JnF1b3Q7LCZxdW90O1NlY3Rpb24xL21hcHBpbmdfYnVkZ2V0LVRCT193ZWlnaHRlZCAoMykvVHlwZSBnZXdpanppZ2Que0NvbHVtbjI4NSwyODR9JnF1b3Q7LCZxdW90O1NlY3Rpb24xL21hcHBpbmdfYnVkZ2V0LVRCT193ZWlnaHRlZCAoMykvVHlwZSBnZXdpanppZ2Que0NvbHVtbjI4NiwyODV9JnF1b3Q7LCZxdW90O1NlY3Rpb24xL21hcHBpbmdfYnVkZ2V0LVRCT193ZWlnaHRlZCAoMykvVHlwZSBnZXdpanppZ2Que0NvbHVtbjI4NywyODZ9JnF1b3Q7LCZxdW90O1NlY3Rpb24xL21hcHBpbmdfYnVkZ2V0LVRCT193ZWlnaHRlZCAoMykvVHlwZSBnZXdpanppZ2Que0NvbHVtbjI4OCwyODd9JnF1b3Q7LCZxdW90O1NlY3Rpb24xL21hcHBpbmdfYnVkZ2V0LVRCT193ZWlnaHRlZCAoMykvVHlwZSBnZXdpanppZ2Que0NvbHVtbjI4OSwyODh9JnF1b3Q7LCZxdW90O1NlY3Rpb24xL21hcHBpbmdfYnVkZ2V0LVRCT193ZWlnaHRlZCAoMykvVHlwZSBnZXdpanppZ2Que0NvbHVtbjI5MCwyODl9JnF1b3Q7LCZxdW90O1NlY3Rpb24xL21hcHBpbmdfYnVkZ2V0LVRCT193ZWlnaHRlZCAoMykvVHlwZSBnZXdpanppZ2Que0NvbHVtbjI5MSwyOTB9JnF1b3Q7LCZxdW90O1NlY3Rpb24xL21hcHBpbmdfYnVkZ2V0LVRCT193ZWlnaHRlZCAoMykvVHlwZSBnZXdpanppZ2Que0NvbHVtbjI5MiwyOTF9JnF1b3Q7LCZxdW90O1NlY3Rpb24xL21hcHBpbmdfYnVkZ2V0LVRCT193ZWlnaHRlZCAoMykvVHlwZSBnZXdpanppZ2Que0NvbHVtbjI5MywyOTJ9JnF1b3Q7LCZxdW90O1NlY3Rpb24xL21hcHBpbmdfYnVkZ2V0LVRCT193ZWlnaHRlZCAoMykvVHlwZSBnZXdpanppZ2Que0NvbHVtbjI5NCwyOTN9JnF1b3Q7LCZxdW90O1NlY3Rpb24xL21hcHBpbmdfYnVkZ2V0LVRCT193ZWlnaHRlZCAoMykvVHlwZSBnZXdpanppZ2Que0NvbHVtbjI5NSwyOTR9JnF1b3Q7LCZxdW90O1NlY3Rpb24xL21hcHBpbmdfYnVkZ2V0LVRCT193ZWlnaHRlZCAoMykvVHlwZSBnZXdpanppZ2Que0NvbHVtbjI5NiwyOTV9JnF1b3Q7LCZxdW90O1NlY3Rpb24xL21hcHBpbmdfYnVkZ2V0LVRCT193ZWlnaHRlZCAoMykvVHlwZSBnZXdpanppZ2Que0NvbHVtbjI5NywyOTZ9JnF1b3Q7LCZxdW90O1NlY3Rpb24xL21hcHBpbmdfYnVkZ2V0LVRCT193ZWlnaHRlZCAoMykvVHlwZSBnZXdpanppZ2Que0NvbHVtbjI5OCwyOTd9JnF1b3Q7LCZxdW90O1NlY3Rpb24xL21hcHBpbmdfYnVkZ2V0LVRCT193ZWlnaHRlZCAoMykvVHlwZSBnZXdpanppZ2Que0NvbHVtbjI5OSwyOTh9JnF1b3Q7LCZxdW90O1NlY3Rpb24xL21hcHBpbmdfYnVkZ2V0LVRCT193ZWlnaHRlZCAoMykvVHlwZSBnZXdpanppZ2Que0NvbHVtbjMwMCwyOTl9JnF1b3Q7LCZxdW90O1NlY3Rpb24xL21hcHBpbmdfYnVkZ2V0LVRCT193ZWlnaHRlZCAoMykvVHlwZSBnZXdpanppZ2Que0NvbHVtbjMwMSwzMDB9JnF1b3Q7LCZxdW90O1NlY3Rpb24xL21hcHBpbmdfYnVkZ2V0LVRCT193ZWlnaHRlZCAoMykvVHlwZSBnZXdpanppZ2Que0NvbHVtbjMwMiwzMDF9JnF1b3Q7LCZxdW90O1NlY3Rpb24xL21hcHBpbmdfYnVkZ2V0LVRCT193ZWlnaHRlZCAoMykvVHlwZSBnZXdpanppZ2Que0NvbHVtbjMwMywzMDJ9JnF1b3Q7LCZxdW90O1NlY3Rpb24xL21hcHBpbmdfYnVkZ2V0LVRCT193ZWlnaHRlZCAoMykvVHlwZSBnZXdpanppZ2Que0NvbHVtbjMwNCwzMDN9JnF1b3Q7LCZxdW90O1NlY3Rpb24xL21hcHBpbmdfYnVkZ2V0LVRCT193ZWlnaHRlZCAoMykvVHlwZSBnZXdpanppZ2Que0NvbHVtbjMwNSwzMDR9JnF1b3Q7LCZxdW90O1NlY3Rpb24xL21hcHBpbmdfYnVkZ2V0LVRCT193ZWlnaHRlZCAoMykvVHlwZSBnZXdpanppZ2Que0NvbHVtbjMwNiwzMDV9JnF1b3Q7LCZxdW90O1NlY3Rpb24xL21hcHBpbmdfYnVkZ2V0LVRCT193ZWlnaHRlZCAoMykvVHlwZSBnZXdpanppZ2Que0NvbHVtbjMwNywzMDZ9JnF1b3Q7LCZxdW90O1NlY3Rpb24xL21hcHBpbmdfYnVkZ2V0LVRCT193ZWlnaHRlZCAoMykvVHlwZSBnZXdpanppZ2Que0NvbHVtbjMwOCwzMDd9JnF1b3Q7LCZxdW90O1NlY3Rpb24xL21hcHBpbmdfYnVkZ2V0LVRCT193ZWlnaHRlZCAoMykvVHlwZSBnZXdpanppZ2Que0NvbHVtbjMwOSwzMDh9JnF1b3Q7LCZxdW90O1NlY3Rpb24xL21hcHBpbmdfYnVkZ2V0LVRCT193ZWlnaHRlZCAoMykvVHlwZSBnZXdpanppZ2Que0NvbHVtbjMxMCwzMDl9JnF1b3Q7LCZxdW90O1NlY3Rpb24xL21hcHBpbmdfYnVkZ2V0LVRCT193ZWlnaHRlZCAoMykvVHlwZSBnZXdpanppZ2Que0NvbHVtbjMxMSwzMTB9JnF1b3Q7LCZxdW90O1NlY3Rpb24xL21hcHBpbmdfYnVkZ2V0LVRCT193ZWlnaHRlZCAoMykvVHlwZSBnZXdpanppZ2Que0NvbHVtbjMxMiwzMTF9JnF1b3Q7LCZxdW90O1NlY3Rpb24xL21hcHBpbmdfYnVkZ2V0LVRCT193ZWlnaHRlZCAoMykvVHlwZSBnZXdpanppZ2Que0NvbHVtbjMxMywzMTJ9JnF1b3Q7LCZxdW90O1NlY3Rpb24xL21hcHBpbmdfYnVkZ2V0LVRCT193ZWlnaHRlZCAoMykvVHlwZSBnZXdpanppZ2Que0NvbHVtbjMxNCwzMTN9JnF1b3Q7LCZxdW90O1NlY3Rpb24xL21hcHBpbmdfYnVkZ2V0LVRCT193ZWlnaHRlZCAoMykvVHlwZSBnZXdpanppZ2Que0NvbHVtbjMxNSwzMTR9JnF1b3Q7LCZxdW90O1NlY3Rpb24xL21hcHBpbmdfYnVkZ2V0LVRCT193ZWlnaHRlZCAoMykvVHlwZSBnZXdpanppZ2Que0NvbHVtbjMxNiwzMTV9JnF1b3Q7LCZxdW90O1NlY3Rpb24xL21hcHBpbmdfYnVkZ2V0LVRCT193ZWlnaHRlZCAoMykvVHlwZSBnZXdpanppZ2Que0NvbHVtbjMxNywzMTZ9JnF1b3Q7XSwmcXVvdDtSZWxhdGlvbnNoaXBJbmZvJnF1b3Q7OltdfSIgLz48L1N0YWJsZUVudHJpZXM+PC9JdGVtPjxJdGVtPjxJdGVtTG9jYXRpb24+PEl0ZW1UeXBlPkZvcm11bGE8L0l0ZW1UeXBlPjxJdGVtUGF0aD5TZWN0aW9uMS9tYXBwaW5nX2J1ZGdldC1UQk9fd2VpZ2h0ZWQlMjAoMykvQnJvbjwvSXRlbVBhdGg+PC9JdGVtTG9jYXRpb24+PFN0YWJsZUVudHJpZXMgLz48L0l0ZW0+PEl0ZW0+PEl0ZW1Mb2NhdGlvbj48SXRlbVR5cGU+Rm9ybXVsYTwvSXRlbVR5cGU+PEl0ZW1QYXRoPlNlY3Rpb24xL21hcHBpbmdfYnVkZ2V0LVRCT193ZWlnaHRlZCUyMCgzKS9UeXBlJTIwZ2V3aWp6aWdkPC9JdGVtUGF0aD48L0l0ZW1Mb2NhdGlvbj48U3RhYmxlRW50cmllcyAvPjwvSXRlbT48SXRlbT48SXRlbUxvY2F0aW9uPjxJdGVtVHlwZT5Gb3JtdWxhPC9JdGVtVHlwZT48SXRlbVBhdGg+U2VjdGlvbjEvbWFwcGluZ19idWRnZXQtVEJPX3dlaWdodGVkJTIwKDQp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RXhjZXB0aW9uIiAvPjxFbnRyeSBUeXBlPSJOYW1lVXBkYXRlZEFmdGVyRmlsbCIgVmFsdWU9ImwwIiAvPjxFbnRyeSBUeXBlPSJGaWxsZWRDb21wbGV0ZVJlc3VsdFRvV29ya3NoZWV0IiBWYWx1ZT0ibDEiIC8+PEVudHJ5IFR5cGU9IlJlY292ZXJ5VGFyZ2V0U2hlZXQiIFZhbHVlPSJzQmxhZDIiIC8+PEVudHJ5IFR5cGU9IlJlY292ZXJ5VGFyZ2V0Q29sdW1uIiBWYWx1ZT0ibDEiIC8+PEVudHJ5IFR5cGU9IlJlY292ZXJ5VGFyZ2V0Um93IiBWYWx1ZT0ibDEiIC8+PEVudHJ5IFR5cGU9IkFkZGVkVG9EYXRhTW9kZWwiIFZhbHVlPSJsMCIgLz48RW50cnkgVHlwZT0iRmlsbENvdW50IiBWYWx1ZT0ibDE1NyIgLz48RW50cnkgVHlwZT0iRmlsbEVycm9yQ29kZSIgVmFsdWU9InNVbmtub3duIiAvPjxFbnRyeSBUeXBlPSJGaWxsRXJyb3JDb3VudCIgVmFsdWU9ImwwIiAvPjxFbnRyeSBUeXBlPSJGaWxsTGFzdFVwZGF0ZWQiIFZhbHVlPSJkMjAyNC0wOC0xOVQwOToyNTowOC4yOTgzNzI3WiIgLz48RW50cnkgVHlwZT0iRmlsbENvbHVtblR5cGVzIiBWYWx1ZT0ic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T0iIC8+PEVudHJ5IFR5cGU9IkZpbGxDb2x1bW5OYW1lcyIgVmFsdWU9InNbJnF1b3Q7Q29sdW1uMSZxdW90OywmcXVvdDtDb2x1bW4yJnF1b3Q7LCZxdW90O0NvbHVtbjMmcXVvdDssJnF1b3Q7Q29sdW1uNCZxdW90OywmcXVvdDtDb2x1bW41JnF1b3Q7LCZxdW90O0NvbHVtbjYmcXVvdDssJnF1b3Q7Q29sdW1uNyZxdW90OywmcXVvdDtDb2x1bW44JnF1b3Q7LCZxdW90O0NvbHVtbjkmcXVvdDssJnF1b3Q7Q29sdW1uMTAmcXVvdDssJnF1b3Q7Q29sdW1uMTEmcXVvdDssJnF1b3Q7Q29sdW1uMTImcXVvdDssJnF1b3Q7Q29sdW1uMTMmcXVvdDssJnF1b3Q7Q29sdW1uMTQmcXVvdDssJnF1b3Q7Q29sdW1uMTUmcXVvdDssJnF1b3Q7Q29sdW1uMTYmcXVvdDssJnF1b3Q7Q29sdW1uMTcmcXVvdDssJnF1b3Q7Q29sdW1uMTgmcXVvdDssJnF1b3Q7Q29sdW1uMTkmcXVvdDssJnF1b3Q7Q29sdW1uMjAmcXVvdDssJnF1b3Q7Q29sdW1uMjEmcXVvdDssJnF1b3Q7Q29sdW1uMjImcXVvdDssJnF1b3Q7Q29sdW1uMjMmcXVvdDssJnF1b3Q7Q29sdW1uMjQmcXVvdDssJnF1b3Q7Q29sdW1uMjUmcXVvdDssJnF1b3Q7Q29sdW1uMjYmcXVvdDssJnF1b3Q7Q29sdW1uMjcmcXVvdDssJnF1b3Q7Q29sdW1uMjgmcXVvdDssJnF1b3Q7Q29sdW1uMjkmcXVvdDssJnF1b3Q7Q29sdW1uMzAmcXVvdDssJnF1b3Q7Q29sdW1uMzEmcXVvdDssJnF1b3Q7Q29sdW1uMzImcXVvdDssJnF1b3Q7Q29sdW1uMzMmcXVvdDssJnF1b3Q7Q29sdW1uMzQmcXVvdDssJnF1b3Q7Q29sdW1uMzUmcXVvdDssJnF1b3Q7Q29sdW1uMzYmcXVvdDssJnF1b3Q7Q29sdW1uMzcmcXVvdDssJnF1b3Q7Q29sdW1uMzgmcXVvdDssJnF1b3Q7Q29sdW1uMzkmcXVvdDssJnF1b3Q7Q29sdW1uNDAmcXVvdDssJnF1b3Q7Q29sdW1uNDEmcXVvdDssJnF1b3Q7Q29sdW1uNDImcXVvdDssJnF1b3Q7Q29sdW1uNDMmcXVvdDssJnF1b3Q7Q29sdW1uNDQmcXVvdDssJnF1b3Q7Q29sdW1uNDUmcXVvdDssJnF1b3Q7Q29sdW1uNDYmcXVvdDssJnF1b3Q7Q29sdW1uNDcmcXVvdDssJnF1b3Q7Q29sdW1uNDgmcXVvdDssJnF1b3Q7Q29sdW1uNDkmcXVvdDssJnF1b3Q7Q29sdW1uNTAmcXVvdDssJnF1b3Q7Q29sdW1uNTEmcXVvdDssJnF1b3Q7Q29sdW1uNTImcXVvdDssJnF1b3Q7Q29sdW1uNTMmcXVvdDssJnF1b3Q7Q29sdW1uNTQmcXVvdDssJnF1b3Q7Q29sdW1uNTUmcXVvdDssJnF1b3Q7Q29sdW1uNTYmcXVvdDssJnF1b3Q7Q29sdW1uNTcmcXVvdDssJnF1b3Q7Q29sdW1uNTgmcXVvdDssJnF1b3Q7Q29sdW1uNTkmcXVvdDssJnF1b3Q7Q29sdW1uNjAmcXVvdDssJnF1b3Q7Q29sdW1uNjEmcXVvdDssJnF1b3Q7Q29sdW1uNjImcXVvdDssJnF1b3Q7Q29sdW1uNjMmcXVvdDssJnF1b3Q7Q29sdW1uNjQmcXVvdDssJnF1b3Q7Q29sdW1uNjUmcXVvdDssJnF1b3Q7Q29sdW1uNjYmcXVvdDssJnF1b3Q7Q29sdW1uNjcmcXVvdDssJnF1b3Q7Q29sdW1uNjgmcXVvdDssJnF1b3Q7Q29sdW1uNjkmcXVvdDssJnF1b3Q7Q29sdW1uNzAmcXVvdDssJnF1b3Q7Q29sdW1uNzEmcXVvdDssJnF1b3Q7Q29sdW1uNzImcXVvdDssJnF1b3Q7Q29sdW1uNzMmcXVvdDssJnF1b3Q7Q29sdW1uNzQmcXVvdDssJnF1b3Q7Q29sdW1uNzUmcXVvdDssJnF1b3Q7Q29sdW1uNzYmcXVvdDssJnF1b3Q7Q29sdW1uNzcmcXVvdDssJnF1b3Q7Q29sdW1uNzgmcXVvdDssJnF1b3Q7Q29sdW1uNzkmcXVvdDssJnF1b3Q7Q29sdW1uODAmcXVvdDssJnF1b3Q7Q29sdW1uODEmcXVvdDssJnF1b3Q7Q29sdW1uODImcXVvdDssJnF1b3Q7Q29sdW1uODMmcXVvdDssJnF1b3Q7Q29sdW1uODQmcXVvdDssJnF1b3Q7Q29sdW1uODUmcXVvdDssJnF1b3Q7Q29sdW1uODYmcXVvdDssJnF1b3Q7Q29sdW1uODcmcXVvdDssJnF1b3Q7Q29sdW1uODgmcXVvdDssJnF1b3Q7Q29sdW1uODkmcXVvdDssJnF1b3Q7Q29sdW1uOTAmcXVvdDssJnF1b3Q7Q29sdW1uOTEmcXVvdDssJnF1b3Q7Q29sdW1uOTImcXVvdDssJnF1b3Q7Q29sdW1uOTMmcXVvdDssJnF1b3Q7Q29sdW1uOTQmcXVvdDssJnF1b3Q7Q29sdW1uOTUmcXVvdDssJnF1b3Q7Q29sdW1uOTYmcXVvdDssJnF1b3Q7Q29sdW1uOTcmcXVvdDssJnF1b3Q7Q29sdW1uOTgmcXVvdDssJnF1b3Q7Q29sdW1uOTkmcXVvdDssJnF1b3Q7Q29sdW1uMTAwJnF1b3Q7LCZxdW90O0NvbHVtbjEwMSZxdW90OywmcXVvdDtDb2x1bW4xMDImcXVvdDssJnF1b3Q7Q29sdW1uMTAzJnF1b3Q7LCZxdW90O0NvbHVtbjEwNCZxdW90OywmcXVvdDtDb2x1bW4xMDUmcXVvdDssJnF1b3Q7Q29sdW1uMTA2JnF1b3Q7LCZxdW90O0NvbHVtbjEwNyZxdW90OywmcXVvdDtDb2x1bW4xMDgmcXVvdDssJnF1b3Q7Q29sdW1uMTA5JnF1b3Q7LCZxdW90O0NvbHVtbjExMCZxdW90OywmcXVvdDtDb2x1bW4xMTEmcXVvdDssJnF1b3Q7Q29sdW1uMTEyJnF1b3Q7LCZxdW90O0NvbHVtbjExMyZxdW90OywmcXVvdDtDb2x1bW4xMTQmcXVvdDssJnF1b3Q7Q29sdW1uMTE1JnF1b3Q7LCZxdW90O0NvbHVtbjExNiZxdW90OywmcXVvdDtDb2x1bW4xMTcmcXVvdDssJnF1b3Q7Q29sdW1uMTE4JnF1b3Q7LCZxdW90O0NvbHVtbjExOSZxdW90OywmcXVvdDtDb2x1bW4xMjAmcXVvdDssJnF1b3Q7Q29sdW1uMTIxJnF1b3Q7LCZxdW90O0NvbHVtbjEyMiZxdW90OywmcXVvdDtDb2x1bW4xMjMmcXVvdDssJnF1b3Q7Q29sdW1uMTI0JnF1b3Q7LCZxdW90O0NvbHVtbjEyNSZxdW90OywmcXVvdDtDb2x1bW4xMjYmcXVvdDssJnF1b3Q7Q29sdW1uMTI3JnF1b3Q7LCZxdW90O0NvbHVtbjEyOCZxdW90OywmcXVvdDtDb2x1bW4xMjkmcXVvdDssJnF1b3Q7Q29sdW1uMTMwJnF1b3Q7LCZxdW90O0NvbHVtbjEzMSZxdW90OywmcXVvdDtDb2x1bW4xMzImcXVvdDssJnF1b3Q7Q29sdW1uMTMzJnF1b3Q7LCZxdW90O0NvbHVtbjEzNCZxdW90OywmcXVvdDtDb2x1bW4xMzUmcXVvdDssJnF1b3Q7Q29sdW1uMTM2JnF1b3Q7LCZxdW90O0NvbHVtbjEzNyZxdW90OywmcXVvdDtDb2x1bW4xMzgmcXVvdDssJnF1b3Q7Q29sdW1uMTM5JnF1b3Q7LCZxdW90O0NvbHVtbjE0MCZxdW90OywmcXVvdDtDb2x1bW4xNDEmcXVvdDssJnF1b3Q7Q29sdW1uMTQyJnF1b3Q7LCZxdW90O0NvbHVtbjE0MyZxdW90OywmcXVvdDtDb2x1bW4xNDQmcXVvdDssJnF1b3Q7Q29sdW1uMTQ1JnF1b3Q7LCZxdW90O0NvbHVtbjE0NiZxdW90OywmcXVvdDtDb2x1bW4xNDcmcXVvdDssJnF1b3Q7Q29sdW1uMTQ4JnF1b3Q7LCZxdW90O0NvbHVtbjE0OSZxdW90OywmcXVvdDtDb2x1bW4xNTAmcXVvdDssJnF1b3Q7Q29sdW1uMTUxJnF1b3Q7LCZxdW90O0NvbHVtbjE1MiZxdW90OywmcXVvdDtDb2x1bW4xNTMmcXVvdDssJnF1b3Q7Q29sdW1uMTU0JnF1b3Q7LCZxdW90O0NvbHVtbjE1NSZxdW90OywmcXVvdDtDb2x1bW4xNTYmcXVvdDssJnF1b3Q7Q29sdW1uMTU3JnF1b3Q7LCZxdW90O0NvbHVtbjE1OCZxdW90OywmcXVvdDtDb2x1bW4xNTkmcXVvdDssJnF1b3Q7Q29sdW1uMTYwJnF1b3Q7LCZxdW90O0NvbHVtbjE2MSZxdW90OywmcXVvdDtDb2x1bW4xNjImcXVvdDssJnF1b3Q7Q29sdW1uMTYzJnF1b3Q7LCZxdW90O0NvbHVtbjE2NCZxdW90OywmcXVvdDtDb2x1bW4xNjUmcXVvdDssJnF1b3Q7Q29sdW1uMTY2JnF1b3Q7LCZxdW90O0NvbHVtbjE2NyZxdW90OywmcXVvdDtDb2x1bW4xNjgmcXVvdDssJnF1b3Q7Q29sdW1uMTY5JnF1b3Q7LCZxdW90O0NvbHVtbjE3MCZxdW90OywmcXVvdDtDb2x1bW4xNzEmcXVvdDssJnF1b3Q7Q29sdW1uMTcyJnF1b3Q7LCZxdW90O0NvbHVtbjE3MyZxdW90OywmcXVvdDtDb2x1bW4xNzQmcXVvdDssJnF1b3Q7Q29sdW1uMTc1JnF1b3Q7LCZxdW90O0NvbHVtbjE3NiZxdW90OywmcXVvdDtDb2x1bW4xNzcmcXVvdDssJnF1b3Q7Q29sdW1uMTc4JnF1b3Q7LCZxdW90O0NvbHVtbjE3OSZxdW90OywmcXVvdDtDb2x1bW4xODAmcXVvdDssJnF1b3Q7Q29sdW1uMTgxJnF1b3Q7LCZxdW90O0NvbHVtbjE4MiZxdW90OywmcXVvdDtDb2x1bW4xODMmcXVvdDssJnF1b3Q7Q29sdW1uMTg0JnF1b3Q7LCZxdW90O0NvbHVtbjE4NSZxdW90OywmcXVvdDtDb2x1bW4xODYmcXVvdDssJnF1b3Q7Q29sdW1uMTg3JnF1b3Q7LCZxdW90O0NvbHVtbjE4OCZxdW90OywmcXVvdDtDb2x1bW4xODkmcXVvdDssJnF1b3Q7Q29sdW1uMTkwJnF1b3Q7LCZxdW90O0NvbHVtbjE5MSZxdW90OywmcXVvdDtDb2x1bW4xOTImcXVvdDssJnF1b3Q7Q29sdW1uMTkzJnF1b3Q7LCZxdW90O0NvbHVtbjE5NCZxdW90OywmcXVvdDtDb2x1bW4xOTUmcXVvdDssJnF1b3Q7Q29sdW1uMTk2JnF1b3Q7LCZxdW90O0NvbHVtbjE5NyZxdW90OywmcXVvdDtDb2x1bW4xOTgmcXVvdDssJnF1b3Q7Q29sdW1uMTk5JnF1b3Q7LCZxdW90O0NvbHVtbjIwMCZxdW90OywmcXVvdDtDb2x1bW4yMDEmcXVvdDssJnF1b3Q7Q29sdW1uMjAyJnF1b3Q7LCZxdW90O0NvbHVtbjIwMyZxdW90OywmcXVvdDtDb2x1bW4yMDQmcXVvdDssJnF1b3Q7Q29sdW1uMjA1JnF1b3Q7LCZxdW90O0NvbHVtbjIwNiZxdW90OywmcXVvdDtDb2x1bW4yMDcmcXVvdDssJnF1b3Q7Q29sdW1uMjA4JnF1b3Q7LCZxdW90O0NvbHVtbjIwOSZxdW90OywmcXVvdDtDb2x1bW4yMTAmcXVvdDssJnF1b3Q7Q29sdW1uMjExJnF1b3Q7LCZxdW90O0NvbHVtbjIxMiZxdW90OywmcXVvdDtDb2x1bW4yMTMmcXVvdDssJnF1b3Q7Q29sdW1uMjE0JnF1b3Q7LCZxdW90O0NvbHVtbjIxNSZxdW90OywmcXVvdDtDb2x1bW4yMTYmcXVvdDssJnF1b3Q7Q29sdW1uMjE3JnF1b3Q7LCZxdW90O0NvbHVtbjIxOCZxdW90OywmcXVvdDtDb2x1bW4yMTkmcXVvdDssJnF1b3Q7Q29sdW1uMjIwJnF1b3Q7LCZxdW90O0NvbHVtbjIyMSZxdW90OywmcXVvdDtDb2x1bW4yMjImcXVvdDssJnF1b3Q7Q29sdW1uMjIzJnF1b3Q7LCZxdW90O0NvbHVtbjIyNCZxdW90OywmcXVvdDtDb2x1bW4yMjUmcXVvdDssJnF1b3Q7Q29sdW1uMjI2JnF1b3Q7LCZxdW90O0NvbHVtbjIyNyZxdW90OywmcXVvdDtDb2x1bW4yMjgmcXVvdDssJnF1b3Q7Q29sdW1uMjI5JnF1b3Q7LCZxdW90O0NvbHVtbjIzMCZxdW90OywmcXVvdDtDb2x1bW4yMzEmcXVvdDssJnF1b3Q7Q29sdW1uMjMyJnF1b3Q7LCZxdW90O0NvbHVtbjIzMyZxdW90OywmcXVvdDtDb2x1bW4yMzQmcXVvdDssJnF1b3Q7Q29sdW1uMjM1JnF1b3Q7LCZxdW90O0NvbHVtbjIzNiZxdW90OywmcXVvdDtDb2x1bW4yMzcmcXVvdDssJnF1b3Q7Q29sdW1uMjM4JnF1b3Q7LCZxdW90O0NvbHVtbjIzOSZxdW90OywmcXVvdDtDb2x1bW4yNDAmcXVvdDssJnF1b3Q7Q29sdW1uMjQxJnF1b3Q7LCZxdW90O0NvbHVtbjI0MiZxdW90OywmcXVvdDtDb2x1bW4yNDMmcXVvdDssJnF1b3Q7Q29sdW1uMjQ0JnF1b3Q7LCZxdW90O0NvbHVtbjI0NSZxdW90OywmcXVvdDtDb2x1bW4yNDYmcXVvdDssJnF1b3Q7Q29sdW1uMjQ3JnF1b3Q7LCZxdW90O0NvbHVtbjI0OCZxdW90OywmcXVvdDtDb2x1bW4yNDkmcXVvdDssJnF1b3Q7Q29sdW1uMjUwJnF1b3Q7LCZxdW90O0NvbHVtbjI1MSZxdW90OywmcXVvdDtDb2x1bW4yNTImcXVvdDssJnF1b3Q7Q29sdW1uMjUzJnF1b3Q7LCZxdW90O0NvbHVtbjI1NCZxdW90OywmcXVvdDtDb2x1bW4yNTUmcXVvdDssJnF1b3Q7Q29sdW1uMjU2JnF1b3Q7LCZxdW90O0NvbHVtbjI1NyZxdW90OywmcXVvdDtDb2x1bW4yNTgmcXVvdDssJnF1b3Q7Q29sdW1uMjU5JnF1b3Q7LCZxdW90O0NvbHVtbjI2MCZxdW90OywmcXVvdDtDb2x1bW4yNjEmcXVvdDssJnF1b3Q7Q29sdW1uMjYyJnF1b3Q7LCZxdW90O0NvbHVtbjI2MyZxdW90OywmcXVvdDtDb2x1bW4yNjQmcXVvdDssJnF1b3Q7Q29sdW1uMjY1JnF1b3Q7LCZxdW90O0NvbHVtbjI2NiZxdW90OywmcXVvdDtDb2x1bW4yNjcmcXVvdDssJnF1b3Q7Q29sdW1uMjY4JnF1b3Q7LCZxdW90O0NvbHVtbjI2OSZxdW90OywmcXVvdDtDb2x1bW4yNzAmcXVvdDssJnF1b3Q7Q29sdW1uMjcxJnF1b3Q7LCZxdW90O0NvbHVtbjI3MiZxdW90OywmcXVvdDtDb2x1bW4yNzMmcXVvdDssJnF1b3Q7Q29sdW1uMjc0JnF1b3Q7LCZxdW90O0NvbHVtbjI3NSZxdW90OywmcXVvdDtDb2x1bW4yNzYmcXVvdDssJnF1b3Q7Q29sdW1uMjc3JnF1b3Q7LCZxdW90O0NvbHVtbjI3OCZxdW90OywmcXVvdDtDb2x1bW4yNzkmcXVvdDssJnF1b3Q7Q29sdW1uMjgwJnF1b3Q7LCZxdW90O0NvbHVtbjI4MSZxdW90OywmcXVvdDtDb2x1bW4yODImcXVvdDssJnF1b3Q7Q29sdW1uMjgzJnF1b3Q7LCZxdW90O0NvbHVtbjI4NCZxdW90OywmcXVvdDtDb2x1bW4yODUmcXVvdDssJnF1b3Q7Q29sdW1uMjg2JnF1b3Q7LCZxdW90O0NvbHVtbjI4NyZxdW90OywmcXVvdDtDb2x1bW4yODgmcXVvdDssJnF1b3Q7Q29sdW1uMjg5JnF1b3Q7LCZxdW90O0NvbHVtbjI5MCZxdW90OywmcXVvdDtDb2x1bW4yOTEmcXVvdDssJnF1b3Q7Q29sdW1uMjkyJnF1b3Q7LCZxdW90O0NvbHVtbjI5MyZxdW90OywmcXVvdDtDb2x1bW4yOTQmcXVvdDssJnF1b3Q7Q29sdW1uMjk1JnF1b3Q7LCZxdW90O0NvbHVtbjI5NiZxdW90OywmcXVvdDtDb2x1bW4yOTcmcXVvdDssJnF1b3Q7Q29sdW1uMjk4JnF1b3Q7LCZxdW90O0NvbHVtbjI5OSZxdW90OywmcXVvdDtDb2x1bW4zMDAmcXVvdDssJnF1b3Q7Q29sdW1uMzAxJnF1b3Q7LCZxdW90O0NvbHVtbjMwMiZxdW90OywmcXVvdDtDb2x1bW4zMDMmcXVvdDssJnF1b3Q7Q29sdW1uMzA0JnF1b3Q7LCZxdW90O0NvbHVtbjMwNSZxdW90OywmcXVvdDtDb2x1bW4zMDYmcXVvdDssJnF1b3Q7Q29sdW1uMzA3JnF1b3Q7LCZxdW90O0NvbHVtbjMwOCZxdW90OywmcXVvdDtDb2x1bW4zMDkmcXVvdDssJnF1b3Q7Q29sdW1uMzEwJnF1b3Q7LCZxdW90O0NvbHVtbjMxMSZxdW90OywmcXVvdDtDb2x1bW4zMTImcXVvdDssJnF1b3Q7Q29sdW1uMzEzJnF1b3Q7LCZxdW90O0NvbHVtbjMxNCZxdW90OywmcXVvdDtDb2x1bW4zMTUmcXVvdDssJnF1b3Q7Q29sdW1uMzE2JnF1b3Q7LCZxdW90O0NvbHVtbjMxNyZxdW90O10iIC8+PEVudHJ5IFR5cGU9IkZpbGxTdGF0dXMiIFZhbHVlPSJzQ29tcGxldGUiIC8+PEVudHJ5IFR5cGU9IlJlbGF0aW9uc2hpcEluZm9Db250YWluZXIiIFZhbHVlPSJzeyZxdW90O2NvbHVtbkNvdW50JnF1b3Q7OjMxNywmcXVvdDtrZXlDb2x1bW5OYW1lcyZxdW90OzpbXSwmcXVvdDtxdWVyeVJlbGF0aW9uc2hpcHMmcXVvdDs6W10sJnF1b3Q7Y29sdW1uSWRlbnRpdGllcyZxdW90OzpbJnF1b3Q7U2VjdGlvbjEvbWFwcGluZ19idWRnZXQtVEJPX3dlaWdodGVkICg0KS9UeXBlIGdld2lqemlnZC57Q29sdW1uMSwwfSZxdW90OywmcXVvdDtTZWN0aW9uMS9tYXBwaW5nX2J1ZGdldC1UQk9fd2VpZ2h0ZWQgKDQpL1R5cGUgZ2V3aWp6aWdkLntDb2x1bW4yLDF9JnF1b3Q7LCZxdW90O1NlY3Rpb24xL21hcHBpbmdfYnVkZ2V0LVRCT193ZWlnaHRlZCAoNCkvVHlwZSBnZXdpanppZ2Que0NvbHVtbjMsMn0mcXVvdDssJnF1b3Q7U2VjdGlvbjEvbWFwcGluZ19idWRnZXQtVEJPX3dlaWdodGVkICg0KS9UeXBlIGdld2lqemlnZC57Q29sdW1uNCwzfSZxdW90OywmcXVvdDtTZWN0aW9uMS9tYXBwaW5nX2J1ZGdldC1UQk9fd2VpZ2h0ZWQgKDQpL1R5cGUgZ2V3aWp6aWdkLntDb2x1bW41LDR9JnF1b3Q7LCZxdW90O1NlY3Rpb24xL21hcHBpbmdfYnVkZ2V0LVRCT193ZWlnaHRlZCAoNCkvVHlwZSBnZXdpanppZ2Que0NvbHVtbjYsNX0mcXVvdDssJnF1b3Q7U2VjdGlvbjEvbWFwcGluZ19idWRnZXQtVEJPX3dlaWdodGVkICg0KS9UeXBlIGdld2lqemlnZC57Q29sdW1uNyw2fSZxdW90OywmcXVvdDtTZWN0aW9uMS9tYXBwaW5nX2J1ZGdldC1UQk9fd2VpZ2h0ZWQgKDQpL1R5cGUgZ2V3aWp6aWdkLntDb2x1bW44LDd9JnF1b3Q7LCZxdW90O1NlY3Rpb24xL21hcHBpbmdfYnVkZ2V0LVRCT193ZWlnaHRlZCAoNCkvVHlwZSBnZXdpanppZ2Que0NvbHVtbjksOH0mcXVvdDssJnF1b3Q7U2VjdGlvbjEvbWFwcGluZ19idWRnZXQtVEJPX3dlaWdodGVkICg0KS9UeXBlIGdld2lqemlnZC57Q29sdW1uMTAsOX0mcXVvdDssJnF1b3Q7U2VjdGlvbjEvbWFwcGluZ19idWRnZXQtVEJPX3dlaWdodGVkICg0KS9UeXBlIGdld2lqemlnZC57Q29sdW1uMTEsMTB9JnF1b3Q7LCZxdW90O1NlY3Rpb24xL21hcHBpbmdfYnVkZ2V0LVRCT193ZWlnaHRlZCAoNCkvVHlwZSBnZXdpanppZ2Que0NvbHVtbjEyLDExfSZxdW90OywmcXVvdDtTZWN0aW9uMS9tYXBwaW5nX2J1ZGdldC1UQk9fd2VpZ2h0ZWQgKDQpL1R5cGUgZ2V3aWp6aWdkLntDb2x1bW4xMywxMn0mcXVvdDssJnF1b3Q7U2VjdGlvbjEvbWFwcGluZ19idWRnZXQtVEJPX3dlaWdodGVkICg0KS9UeXBlIGdld2lqemlnZC57Q29sdW1uMTQsMTN9JnF1b3Q7LCZxdW90O1NlY3Rpb24xL21hcHBpbmdfYnVkZ2V0LVRCT193ZWlnaHRlZCAoNCkvVHlwZSBnZXdpanppZ2Que0NvbHVtbjE1LDE0fSZxdW90OywmcXVvdDtTZWN0aW9uMS9tYXBwaW5nX2J1ZGdldC1UQk9fd2VpZ2h0ZWQgKDQpL1R5cGUgZ2V3aWp6aWdkLntDb2x1bW4xNiwxNX0mcXVvdDssJnF1b3Q7U2VjdGlvbjEvbWFwcGluZ19idWRnZXQtVEJPX3dlaWdodGVkICg0KS9UeXBlIGdld2lqemlnZC57Q29sdW1uMTcsMTZ9JnF1b3Q7LCZxdW90O1NlY3Rpb24xL21hcHBpbmdfYnVkZ2V0LVRCT193ZWlnaHRlZCAoNCkvVHlwZSBnZXdpanppZ2Que0NvbHVtbjE4LDE3fSZxdW90OywmcXVvdDtTZWN0aW9uMS9tYXBwaW5nX2J1ZGdldC1UQk9fd2VpZ2h0ZWQgKDQpL1R5cGUgZ2V3aWp6aWdkLntDb2x1bW4xOSwxOH0mcXVvdDssJnF1b3Q7U2VjdGlvbjEvbWFwcGluZ19idWRnZXQtVEJPX3dlaWdodGVkICg0KS9UeXBlIGdld2lqemlnZC57Q29sdW1uMjAsMTl9JnF1b3Q7LCZxdW90O1NlY3Rpb24xL21hcHBpbmdfYnVkZ2V0LVRCT193ZWlnaHRlZCAoNCkvVHlwZSBnZXdpanppZ2Que0NvbHVtbjIxLDIwfSZxdW90OywmcXVvdDtTZWN0aW9uMS9tYXBwaW5nX2J1ZGdldC1UQk9fd2VpZ2h0ZWQgKDQpL1R5cGUgZ2V3aWp6aWdkLntDb2x1bW4yMiwyMX0mcXVvdDssJnF1b3Q7U2VjdGlvbjEvbWFwcGluZ19idWRnZXQtVEJPX3dlaWdodGVkICg0KS9UeXBlIGdld2lqemlnZC57Q29sdW1uMjMsMjJ9JnF1b3Q7LCZxdW90O1NlY3Rpb24xL21hcHBpbmdfYnVkZ2V0LVRCT193ZWlnaHRlZCAoNCkvVHlwZSBnZXdpanppZ2Que0NvbHVtbjI0LDIzfSZxdW90OywmcXVvdDtTZWN0aW9uMS9tYXBwaW5nX2J1ZGdldC1UQk9fd2VpZ2h0ZWQgKDQpL1R5cGUgZ2V3aWp6aWdkLntDb2x1bW4yNSwyNH0mcXVvdDssJnF1b3Q7U2VjdGlvbjEvbWFwcGluZ19idWRnZXQtVEJPX3dlaWdodGVkICg0KS9UeXBlIGdld2lqemlnZC57Q29sdW1uMjYsMjV9JnF1b3Q7LCZxdW90O1NlY3Rpb24xL21hcHBpbmdfYnVkZ2V0LVRCT193ZWlnaHRlZCAoNCkvVHlwZSBnZXdpanppZ2Que0NvbHVtbjI3LDI2fSZxdW90OywmcXVvdDtTZWN0aW9uMS9tYXBwaW5nX2J1ZGdldC1UQk9fd2VpZ2h0ZWQgKDQpL1R5cGUgZ2V3aWp6aWdkLntDb2x1bW4yOCwyN30mcXVvdDssJnF1b3Q7U2VjdGlvbjEvbWFwcGluZ19idWRnZXQtVEJPX3dlaWdodGVkICg0KS9UeXBlIGdld2lqemlnZC57Q29sdW1uMjksMjh9JnF1b3Q7LCZxdW90O1NlY3Rpb24xL21hcHBpbmdfYnVkZ2V0LVRCT193ZWlnaHRlZCAoNCkvVHlwZSBnZXdpanppZ2Que0NvbHVtbjMwLDI5fSZxdW90OywmcXVvdDtTZWN0aW9uMS9tYXBwaW5nX2J1ZGdldC1UQk9fd2VpZ2h0ZWQgKDQpL1R5cGUgZ2V3aWp6aWdkLntDb2x1bW4zMSwzMH0mcXVvdDssJnF1b3Q7U2VjdGlvbjEvbWFwcGluZ19idWRnZXQtVEJPX3dlaWdodGVkICg0KS9UeXBlIGdld2lqemlnZC57Q29sdW1uMzIsMzF9JnF1b3Q7LCZxdW90O1NlY3Rpb24xL21hcHBpbmdfYnVkZ2V0LVRCT193ZWlnaHRlZCAoNCkvVHlwZSBnZXdpanppZ2Que0NvbHVtbjMzLDMyfSZxdW90OywmcXVvdDtTZWN0aW9uMS9tYXBwaW5nX2J1ZGdldC1UQk9fd2VpZ2h0ZWQgKDQpL1R5cGUgZ2V3aWp6aWdkLntDb2x1bW4zNCwzM30mcXVvdDssJnF1b3Q7U2VjdGlvbjEvbWFwcGluZ19idWRnZXQtVEJPX3dlaWdodGVkICg0KS9UeXBlIGdld2lqemlnZC57Q29sdW1uMzUsMzR9JnF1b3Q7LCZxdW90O1NlY3Rpb24xL21hcHBpbmdfYnVkZ2V0LVRCT193ZWlnaHRlZCAoNCkvVHlwZSBnZXdpanppZ2Que0NvbHVtbjM2LDM1fSZxdW90OywmcXVvdDtTZWN0aW9uMS9tYXBwaW5nX2J1ZGdldC1UQk9fd2VpZ2h0ZWQgKDQpL1R5cGUgZ2V3aWp6aWdkLntDb2x1bW4zNywzNn0mcXVvdDssJnF1b3Q7U2VjdGlvbjEvbWFwcGluZ19idWRnZXQtVEJPX3dlaWdodGVkICg0KS9UeXBlIGdld2lqemlnZC57Q29sdW1uMzgsMzd9JnF1b3Q7LCZxdW90O1NlY3Rpb24xL21hcHBpbmdfYnVkZ2V0LVRCT193ZWlnaHRlZCAoNCkvVHlwZSBnZXdpanppZ2Que0NvbHVtbjM5LDM4fSZxdW90OywmcXVvdDtTZWN0aW9uMS9tYXBwaW5nX2J1ZGdldC1UQk9fd2VpZ2h0ZWQgKDQpL1R5cGUgZ2V3aWp6aWdkLntDb2x1bW40MCwzOX0mcXVvdDssJnF1b3Q7U2VjdGlvbjEvbWFwcGluZ19idWRnZXQtVEJPX3dlaWdodGVkICg0KS9UeXBlIGdld2lqemlnZC57Q29sdW1uNDEsNDB9JnF1b3Q7LCZxdW90O1NlY3Rpb24xL21hcHBpbmdfYnVkZ2V0LVRCT193ZWlnaHRlZCAoNCkvVHlwZSBnZXdpanppZ2Que0NvbHVtbjQyLDQxfSZxdW90OywmcXVvdDtTZWN0aW9uMS9tYXBwaW5nX2J1ZGdldC1UQk9fd2VpZ2h0ZWQgKDQpL1R5cGUgZ2V3aWp6aWdkLntDb2x1bW40Myw0Mn0mcXVvdDssJnF1b3Q7U2VjdGlvbjEvbWFwcGluZ19idWRnZXQtVEJPX3dlaWdodGVkICg0KS9UeXBlIGdld2lqemlnZC57Q29sdW1uNDQsNDN9JnF1b3Q7LCZxdW90O1NlY3Rpb24xL21hcHBpbmdfYnVkZ2V0LVRCT193ZWlnaHRlZCAoNCkvVHlwZSBnZXdpanppZ2Que0NvbHVtbjQ1LDQ0fSZxdW90OywmcXVvdDtTZWN0aW9uMS9tYXBwaW5nX2J1ZGdldC1UQk9fd2VpZ2h0ZWQgKDQpL1R5cGUgZ2V3aWp6aWdkLntDb2x1bW40Niw0NX0mcXVvdDssJnF1b3Q7U2VjdGlvbjEvbWFwcGluZ19idWRnZXQtVEJPX3dlaWdodGVkICg0KS9UeXBlIGdld2lqemlnZC57Q29sdW1uNDcsNDZ9JnF1b3Q7LCZxdW90O1NlY3Rpb24xL21hcHBpbmdfYnVkZ2V0LVRCT193ZWlnaHRlZCAoNCkvVHlwZSBnZXdpanppZ2Que0NvbHVtbjQ4LDQ3fSZxdW90OywmcXVvdDtTZWN0aW9uMS9tYXBwaW5nX2J1ZGdldC1UQk9fd2VpZ2h0ZWQgKDQpL1R5cGUgZ2V3aWp6aWdkLntDb2x1bW40OSw0OH0mcXVvdDssJnF1b3Q7U2VjdGlvbjEvbWFwcGluZ19idWRnZXQtVEJPX3dlaWdodGVkICg0KS9UeXBlIGdld2lqemlnZC57Q29sdW1uNTAsNDl9JnF1b3Q7LCZxdW90O1NlY3Rpb24xL21hcHBpbmdfYnVkZ2V0LVRCT193ZWlnaHRlZCAoNCkvVHlwZSBnZXdpanppZ2Que0NvbHVtbjUxLDUwfSZxdW90OywmcXVvdDtTZWN0aW9uMS9tYXBwaW5nX2J1ZGdldC1UQk9fd2VpZ2h0ZWQgKDQpL1R5cGUgZ2V3aWp6aWdkLntDb2x1bW41Miw1MX0mcXVvdDssJnF1b3Q7U2VjdGlvbjEvbWFwcGluZ19idWRnZXQtVEJPX3dlaWdodGVkICg0KS9UeXBlIGdld2lqemlnZC57Q29sdW1uNTMsNTJ9JnF1b3Q7LCZxdW90O1NlY3Rpb24xL21hcHBpbmdfYnVkZ2V0LVRCT193ZWlnaHRlZCAoNCkvVHlwZSBnZXdpanppZ2Que0NvbHVtbjU0LDUzfSZxdW90OywmcXVvdDtTZWN0aW9uMS9tYXBwaW5nX2J1ZGdldC1UQk9fd2VpZ2h0ZWQgKDQpL1R5cGUgZ2V3aWp6aWdkLntDb2x1bW41NSw1NH0mcXVvdDssJnF1b3Q7U2VjdGlvbjEvbWFwcGluZ19idWRnZXQtVEJPX3dlaWdodGVkICg0KS9UeXBlIGdld2lqemlnZC57Q29sdW1uNTYsNTV9JnF1b3Q7LCZxdW90O1NlY3Rpb24xL21hcHBpbmdfYnVkZ2V0LVRCT193ZWlnaHRlZCAoNCkvVHlwZSBnZXdpanppZ2Que0NvbHVtbjU3LDU2fSZxdW90OywmcXVvdDtTZWN0aW9uMS9tYXBwaW5nX2J1ZGdldC1UQk9fd2VpZ2h0ZWQgKDQpL1R5cGUgZ2V3aWp6aWdkLntDb2x1bW41OCw1N30mcXVvdDssJnF1b3Q7U2VjdGlvbjEvbWFwcGluZ19idWRnZXQtVEJPX3dlaWdodGVkICg0KS9UeXBlIGdld2lqemlnZC57Q29sdW1uNTksNTh9JnF1b3Q7LCZxdW90O1NlY3Rpb24xL21hcHBpbmdfYnVkZ2V0LVRCT193ZWlnaHRlZCAoNCkvVHlwZSBnZXdpanppZ2Que0NvbHVtbjYwLDU5fSZxdW90OywmcXVvdDtTZWN0aW9uMS9tYXBwaW5nX2J1ZGdldC1UQk9fd2VpZ2h0ZWQgKDQpL1R5cGUgZ2V3aWp6aWdkLntDb2x1bW42MSw2MH0mcXVvdDssJnF1b3Q7U2VjdGlvbjEvbWFwcGluZ19idWRnZXQtVEJPX3dlaWdodGVkICg0KS9UeXBlIGdld2lqemlnZC57Q29sdW1uNjIsNjF9JnF1b3Q7LCZxdW90O1NlY3Rpb24xL21hcHBpbmdfYnVkZ2V0LVRCT193ZWlnaHRlZCAoNCkvVHlwZSBnZXdpanppZ2Que0NvbHVtbjYzLDYyfSZxdW90OywmcXVvdDtTZWN0aW9uMS9tYXBwaW5nX2J1ZGdldC1UQk9fd2VpZ2h0ZWQgKDQpL1R5cGUgZ2V3aWp6aWdkLntDb2x1bW42NCw2M30mcXVvdDssJnF1b3Q7U2VjdGlvbjEvbWFwcGluZ19idWRnZXQtVEJPX3dlaWdodGVkICg0KS9UeXBlIGdld2lqemlnZC57Q29sdW1uNjUsNjR9JnF1b3Q7LCZxdW90O1NlY3Rpb24xL21hcHBpbmdfYnVkZ2V0LVRCT193ZWlnaHRlZCAoNCkvVHlwZSBnZXdpanppZ2Que0NvbHVtbjY2LDY1fSZxdW90OywmcXVvdDtTZWN0aW9uMS9tYXBwaW5nX2J1ZGdldC1UQk9fd2VpZ2h0ZWQgKDQpL1R5cGUgZ2V3aWp6aWdkLntDb2x1bW42Nyw2Nn0mcXVvdDssJnF1b3Q7U2VjdGlvbjEvbWFwcGluZ19idWRnZXQtVEJPX3dlaWdodGVkICg0KS9UeXBlIGdld2lqemlnZC57Q29sdW1uNjgsNjd9JnF1b3Q7LCZxdW90O1NlY3Rpb24xL21hcHBpbmdfYnVkZ2V0LVRCT193ZWlnaHRlZCAoNCkvVHlwZSBnZXdpanppZ2Que0NvbHVtbjY5LDY4fSZxdW90OywmcXVvdDtTZWN0aW9uMS9tYXBwaW5nX2J1ZGdldC1UQk9fd2VpZ2h0ZWQgKDQpL1R5cGUgZ2V3aWp6aWdkLntDb2x1bW43MCw2OX0mcXVvdDssJnF1b3Q7U2VjdGlvbjEvbWFwcGluZ19idWRnZXQtVEJPX3dlaWdodGVkICg0KS9UeXBlIGdld2lqemlnZC57Q29sdW1uNzEsNzB9JnF1b3Q7LCZxdW90O1NlY3Rpb24xL21hcHBpbmdfYnVkZ2V0LVRCT193ZWlnaHRlZCAoNCkvVHlwZSBnZXdpanppZ2Que0NvbHVtbjcyLDcxfSZxdW90OywmcXVvdDtTZWN0aW9uMS9tYXBwaW5nX2J1ZGdldC1UQk9fd2VpZ2h0ZWQgKDQpL1R5cGUgZ2V3aWp6aWdkLntDb2x1bW43Myw3Mn0mcXVvdDssJnF1b3Q7U2VjdGlvbjEvbWFwcGluZ19idWRnZXQtVEJPX3dlaWdodGVkICg0KS9UeXBlIGdld2lqemlnZC57Q29sdW1uNzQsNzN9JnF1b3Q7LCZxdW90O1NlY3Rpb24xL21hcHBpbmdfYnVkZ2V0LVRCT193ZWlnaHRlZCAoNCkvVHlwZSBnZXdpanppZ2Que0NvbHVtbjc1LDc0fSZxdW90OywmcXVvdDtTZWN0aW9uMS9tYXBwaW5nX2J1ZGdldC1UQk9fd2VpZ2h0ZWQgKDQpL1R5cGUgZ2V3aWp6aWdkLntDb2x1bW43Niw3NX0mcXVvdDssJnF1b3Q7U2VjdGlvbjEvbWFwcGluZ19idWRnZXQtVEJPX3dlaWdodGVkICg0KS9UeXBlIGdld2lqemlnZC57Q29sdW1uNzcsNzZ9JnF1b3Q7LCZxdW90O1NlY3Rpb24xL21hcHBpbmdfYnVkZ2V0LVRCT193ZWlnaHRlZCAoNCkvVHlwZSBnZXdpanppZ2Que0NvbHVtbjc4LDc3fSZxdW90OywmcXVvdDtTZWN0aW9uMS9tYXBwaW5nX2J1ZGdldC1UQk9fd2VpZ2h0ZWQgKDQpL1R5cGUgZ2V3aWp6aWdkLntDb2x1bW43OSw3OH0mcXVvdDssJnF1b3Q7U2VjdGlvbjEvbWFwcGluZ19idWRnZXQtVEJPX3dlaWdodGVkICg0KS9UeXBlIGdld2lqemlnZC57Q29sdW1uODAsNzl9JnF1b3Q7LCZxdW90O1NlY3Rpb24xL21hcHBpbmdfYnVkZ2V0LVRCT193ZWlnaHRlZCAoNCkvVHlwZSBnZXdpanppZ2Que0NvbHVtbjgxLDgwfSZxdW90OywmcXVvdDtTZWN0aW9uMS9tYXBwaW5nX2J1ZGdldC1UQk9fd2VpZ2h0ZWQgKDQpL1R5cGUgZ2V3aWp6aWdkLntDb2x1bW44Miw4MX0mcXVvdDssJnF1b3Q7U2VjdGlvbjEvbWFwcGluZ19idWRnZXQtVEJPX3dlaWdodGVkICg0KS9UeXBlIGdld2lqemlnZC57Q29sdW1uODMsODJ9JnF1b3Q7LCZxdW90O1NlY3Rpb24xL21hcHBpbmdfYnVkZ2V0LVRCT193ZWlnaHRlZCAoNCkvVHlwZSBnZXdpanppZ2Que0NvbHVtbjg0LDgzfSZxdW90OywmcXVvdDtTZWN0aW9uMS9tYXBwaW5nX2J1ZGdldC1UQk9fd2VpZ2h0ZWQgKDQpL1R5cGUgZ2V3aWp6aWdkLntDb2x1bW44NSw4NH0mcXVvdDssJnF1b3Q7U2VjdGlvbjEvbWFwcGluZ19idWRnZXQtVEJPX3dlaWdodGVkICg0KS9UeXBlIGdld2lqemlnZC57Q29sdW1uODYsODV9JnF1b3Q7LCZxdW90O1NlY3Rpb24xL21hcHBpbmdfYnVkZ2V0LVRCT193ZWlnaHRlZCAoNCkvVHlwZSBnZXdpanppZ2Que0NvbHVtbjg3LDg2fSZxdW90OywmcXVvdDtTZWN0aW9uMS9tYXBwaW5nX2J1ZGdldC1UQk9fd2VpZ2h0ZWQgKDQpL1R5cGUgZ2V3aWp6aWdkLntDb2x1bW44OCw4N30mcXVvdDssJnF1b3Q7U2VjdGlvbjEvbWFwcGluZ19idWRnZXQtVEJPX3dlaWdodGVkICg0KS9UeXBlIGdld2lqemlnZC57Q29sdW1uODksODh9JnF1b3Q7LCZxdW90O1NlY3Rpb24xL21hcHBpbmdfYnVkZ2V0LVRCT193ZWlnaHRlZCAoNCkvVHlwZSBnZXdpanppZ2Que0NvbHVtbjkwLDg5fSZxdW90OywmcXVvdDtTZWN0aW9uMS9tYXBwaW5nX2J1ZGdldC1UQk9fd2VpZ2h0ZWQgKDQpL1R5cGUgZ2V3aWp6aWdkLntDb2x1bW45MSw5MH0mcXVvdDssJnF1b3Q7U2VjdGlvbjEvbWFwcGluZ19idWRnZXQtVEJPX3dlaWdodGVkICg0KS9UeXBlIGdld2lqemlnZC57Q29sdW1uOTIsOTF9JnF1b3Q7LCZxdW90O1NlY3Rpb24xL21hcHBpbmdfYnVkZ2V0LVRCT193ZWlnaHRlZCAoNCkvVHlwZSBnZXdpanppZ2Que0NvbHVtbjkzLDkyfSZxdW90OywmcXVvdDtTZWN0aW9uMS9tYXBwaW5nX2J1ZGdldC1UQk9fd2VpZ2h0ZWQgKDQpL1R5cGUgZ2V3aWp6aWdkLntDb2x1bW45NCw5M30mcXVvdDssJnF1b3Q7U2VjdGlvbjEvbWFwcGluZ19idWRnZXQtVEJPX3dlaWdodGVkICg0KS9UeXBlIGdld2lqemlnZC57Q29sdW1uOTUsOTR9JnF1b3Q7LCZxdW90O1NlY3Rpb24xL21hcHBpbmdfYnVkZ2V0LVRCT193ZWlnaHRlZCAoNCkvVHlwZSBnZXdpanppZ2Que0NvbHVtbjk2LDk1fSZxdW90OywmcXVvdDtTZWN0aW9uMS9tYXBwaW5nX2J1ZGdldC1UQk9fd2VpZ2h0ZWQgKDQpL1R5cGUgZ2V3aWp6aWdkLntDb2x1bW45Nyw5Nn0mcXVvdDssJnF1b3Q7U2VjdGlvbjEvbWFwcGluZ19idWRnZXQtVEJPX3dlaWdodGVkICg0KS9UeXBlIGdld2lqemlnZC57Q29sdW1uOTgsOTd9JnF1b3Q7LCZxdW90O1NlY3Rpb24xL21hcHBpbmdfYnVkZ2V0LVRCT193ZWlnaHRlZCAoNCkvVHlwZSBnZXdpanppZ2Que0NvbHVtbjk5LDk4fSZxdW90OywmcXVvdDtTZWN0aW9uMS9tYXBwaW5nX2J1ZGdldC1UQk9fd2VpZ2h0ZWQgKDQpL1R5cGUgZ2V3aWp6aWdkLntDb2x1bW4xMDAsOTl9JnF1b3Q7LCZxdW90O1NlY3Rpb24xL21hcHBpbmdfYnVkZ2V0LVRCT193ZWlnaHRlZCAoNCkvVHlwZSBnZXdpanppZ2Que0NvbHVtbjEwMSwxMDB9JnF1b3Q7LCZxdW90O1NlY3Rpb24xL21hcHBpbmdfYnVkZ2V0LVRCT193ZWlnaHRlZCAoNCkvVHlwZSBnZXdpanppZ2Que0NvbHVtbjEwMiwxMDF9JnF1b3Q7LCZxdW90O1NlY3Rpb24xL21hcHBpbmdfYnVkZ2V0LVRCT193ZWlnaHRlZCAoNCkvVHlwZSBnZXdpanppZ2Que0NvbHVtbjEwMywxMDJ9JnF1b3Q7LCZxdW90O1NlY3Rpb24xL21hcHBpbmdfYnVkZ2V0LVRCT193ZWlnaHRlZCAoNCkvVHlwZSBnZXdpanppZ2Que0NvbHVtbjEwNCwxMDN9JnF1b3Q7LCZxdW90O1NlY3Rpb24xL21hcHBpbmdfYnVkZ2V0LVRCT193ZWlnaHRlZCAoNCkvVHlwZSBnZXdpanppZ2Que0NvbHVtbjEwNSwxMDR9JnF1b3Q7LCZxdW90O1NlY3Rpb24xL21hcHBpbmdfYnVkZ2V0LVRCT193ZWlnaHRlZCAoNCkvVHlwZSBnZXdpanppZ2Que0NvbHVtbjEwNiwxMDV9JnF1b3Q7LCZxdW90O1NlY3Rpb24xL21hcHBpbmdfYnVkZ2V0LVRCT193ZWlnaHRlZCAoNCkvVHlwZSBnZXdpanppZ2Que0NvbHVtbjEwNywxMDZ9JnF1b3Q7LCZxdW90O1NlY3Rpb24xL21hcHBpbmdfYnVkZ2V0LVRCT193ZWlnaHRlZCAoNCkvVHlwZSBnZXdpanppZ2Que0NvbHVtbjEwOCwxMDd9JnF1b3Q7LCZxdW90O1NlY3Rpb24xL21hcHBpbmdfYnVkZ2V0LVRCT193ZWlnaHRlZCAoNCkvVHlwZSBnZXdpanppZ2Que0NvbHVtbjEwOSwxMDh9JnF1b3Q7LCZxdW90O1NlY3Rpb24xL21hcHBpbmdfYnVkZ2V0LVRCT193ZWlnaHRlZCAoNCkvVHlwZSBnZXdpanppZ2Que0NvbHVtbjExMCwxMDl9JnF1b3Q7LCZxdW90O1NlY3Rpb24xL21hcHBpbmdfYnVkZ2V0LVRCT193ZWlnaHRlZCAoNCkvVHlwZSBnZXdpanppZ2Que0NvbHVtbjExMSwxMTB9JnF1b3Q7LCZxdW90O1NlY3Rpb24xL21hcHBpbmdfYnVkZ2V0LVRCT193ZWlnaHRlZCAoNCkvVHlwZSBnZXdpanppZ2Que0NvbHVtbjExMiwxMTF9JnF1b3Q7LCZxdW90O1NlY3Rpb24xL21hcHBpbmdfYnVkZ2V0LVRCT193ZWlnaHRlZCAoNCkvVHlwZSBnZXdpanppZ2Que0NvbHVtbjExMywxMTJ9JnF1b3Q7LCZxdW90O1NlY3Rpb24xL21hcHBpbmdfYnVkZ2V0LVRCT193ZWlnaHRlZCAoNCkvVHlwZSBnZXdpanppZ2Que0NvbHVtbjExNCwxMTN9JnF1b3Q7LCZxdW90O1NlY3Rpb24xL21hcHBpbmdfYnVkZ2V0LVRCT193ZWlnaHRlZCAoNCkvVHlwZSBnZXdpanppZ2Que0NvbHVtbjExNSwxMTR9JnF1b3Q7LCZxdW90O1NlY3Rpb24xL21hcHBpbmdfYnVkZ2V0LVRCT193ZWlnaHRlZCAoNCkvVHlwZSBnZXdpanppZ2Que0NvbHVtbjExNiwxMTV9JnF1b3Q7LCZxdW90O1NlY3Rpb24xL21hcHBpbmdfYnVkZ2V0LVRCT193ZWlnaHRlZCAoNCkvVHlwZSBnZXdpanppZ2Que0NvbHVtbjExNywxMTZ9JnF1b3Q7LCZxdW90O1NlY3Rpb24xL21hcHBpbmdfYnVkZ2V0LVRCT193ZWlnaHRlZCAoNCkvVHlwZSBnZXdpanppZ2Que0NvbHVtbjExOCwxMTd9JnF1b3Q7LCZxdW90O1NlY3Rpb24xL21hcHBpbmdfYnVkZ2V0LVRCT193ZWlnaHRlZCAoNCkvVHlwZSBnZXdpanppZ2Que0NvbHVtbjExOSwxMTh9JnF1b3Q7LCZxdW90O1NlY3Rpb24xL21hcHBpbmdfYnVkZ2V0LVRCT193ZWlnaHRlZCAoNCkvVHlwZSBnZXdpanppZ2Que0NvbHVtbjEyMCwxMTl9JnF1b3Q7LCZxdW90O1NlY3Rpb24xL21hcHBpbmdfYnVkZ2V0LVRCT193ZWlnaHRlZCAoNCkvVHlwZSBnZXdpanppZ2Que0NvbHVtbjEyMSwxMjB9JnF1b3Q7LCZxdW90O1NlY3Rpb24xL21hcHBpbmdfYnVkZ2V0LVRCT193ZWlnaHRlZCAoNCkvVHlwZSBnZXdpanppZ2Que0NvbHVtbjEyMiwxMjF9JnF1b3Q7LCZxdW90O1NlY3Rpb24xL21hcHBpbmdfYnVkZ2V0LVRCT193ZWlnaHRlZCAoNCkvVHlwZSBnZXdpanppZ2Que0NvbHVtbjEyMywxMjJ9JnF1b3Q7LCZxdW90O1NlY3Rpb24xL21hcHBpbmdfYnVkZ2V0LVRCT193ZWlnaHRlZCAoNCkvVHlwZSBnZXdpanppZ2Que0NvbHVtbjEyNCwxMjN9JnF1b3Q7LCZxdW90O1NlY3Rpb24xL21hcHBpbmdfYnVkZ2V0LVRCT193ZWlnaHRlZCAoNCkvVHlwZSBnZXdpanppZ2Que0NvbHVtbjEyNSwxMjR9JnF1b3Q7LCZxdW90O1NlY3Rpb24xL21hcHBpbmdfYnVkZ2V0LVRCT193ZWlnaHRlZCAoNCkvVHlwZSBnZXdpanppZ2Que0NvbHVtbjEyNiwxMjV9JnF1b3Q7LCZxdW90O1NlY3Rpb24xL21hcHBpbmdfYnVkZ2V0LVRCT193ZWlnaHRlZCAoNCkvVHlwZSBnZXdpanppZ2Que0NvbHVtbjEyNywxMjZ9JnF1b3Q7LCZxdW90O1NlY3Rpb24xL21hcHBpbmdfYnVkZ2V0LVRCT193ZWlnaHRlZCAoNCkvVHlwZSBnZXdpanppZ2Que0NvbHVtbjEyOCwxMjd9JnF1b3Q7LCZxdW90O1NlY3Rpb24xL21hcHBpbmdfYnVkZ2V0LVRCT193ZWlnaHRlZCAoNCkvVHlwZSBnZXdpanppZ2Que0NvbHVtbjEyOSwxMjh9JnF1b3Q7LCZxdW90O1NlY3Rpb24xL21hcHBpbmdfYnVkZ2V0LVRCT193ZWlnaHRlZCAoNCkvVHlwZSBnZXdpanppZ2Que0NvbHVtbjEzMCwxMjl9JnF1b3Q7LCZxdW90O1NlY3Rpb24xL21hcHBpbmdfYnVkZ2V0LVRCT193ZWlnaHRlZCAoNCkvVHlwZSBnZXdpanppZ2Que0NvbHVtbjEzMSwxMzB9JnF1b3Q7LCZxdW90O1NlY3Rpb24xL21hcHBpbmdfYnVkZ2V0LVRCT193ZWlnaHRlZCAoNCkvVHlwZSBnZXdpanppZ2Que0NvbHVtbjEzMiwxMzF9JnF1b3Q7LCZxdW90O1NlY3Rpb24xL21hcHBpbmdfYnVkZ2V0LVRCT193ZWlnaHRlZCAoNCkvVHlwZSBnZXdpanppZ2Que0NvbHVtbjEzMywxMzJ9JnF1b3Q7LCZxdW90O1NlY3Rpb24xL21hcHBpbmdfYnVkZ2V0LVRCT193ZWlnaHRlZCAoNCkvVHlwZSBnZXdpanppZ2Que0NvbHVtbjEzNCwxMzN9JnF1b3Q7LCZxdW90O1NlY3Rpb24xL21hcHBpbmdfYnVkZ2V0LVRCT193ZWlnaHRlZCAoNCkvVHlwZSBnZXdpanppZ2Que0NvbHVtbjEzNSwxMzR9JnF1b3Q7LCZxdW90O1NlY3Rpb24xL21hcHBpbmdfYnVkZ2V0LVRCT193ZWlnaHRlZCAoNCkvVHlwZSBnZXdpanppZ2Que0NvbHVtbjEzNiwxMzV9JnF1b3Q7LCZxdW90O1NlY3Rpb24xL21hcHBpbmdfYnVkZ2V0LVRCT193ZWlnaHRlZCAoNCkvVHlwZSBnZXdpanppZ2Que0NvbHVtbjEzNywxMzZ9JnF1b3Q7LCZxdW90O1NlY3Rpb24xL21hcHBpbmdfYnVkZ2V0LVRCT193ZWlnaHRlZCAoNCkvVHlwZSBnZXdpanppZ2Que0NvbHVtbjEzOCwxMzd9JnF1b3Q7LCZxdW90O1NlY3Rpb24xL21hcHBpbmdfYnVkZ2V0LVRCT193ZWlnaHRlZCAoNCkvVHlwZSBnZXdpanppZ2Que0NvbHVtbjEzOSwxMzh9JnF1b3Q7LCZxdW90O1NlY3Rpb24xL21hcHBpbmdfYnVkZ2V0LVRCT193ZWlnaHRlZCAoNCkvVHlwZSBnZXdpanppZ2Que0NvbHVtbjE0MCwxMzl9JnF1b3Q7LCZxdW90O1NlY3Rpb24xL21hcHBpbmdfYnVkZ2V0LVRCT193ZWlnaHRlZCAoNCkvVHlwZSBnZXdpanppZ2Que0NvbHVtbjE0MSwxNDB9JnF1b3Q7LCZxdW90O1NlY3Rpb24xL21hcHBpbmdfYnVkZ2V0LVRCT193ZWlnaHRlZCAoNCkvVHlwZSBnZXdpanppZ2Que0NvbHVtbjE0MiwxNDF9JnF1b3Q7LCZxdW90O1NlY3Rpb24xL21hcHBpbmdfYnVkZ2V0LVRCT193ZWlnaHRlZCAoNCkvVHlwZSBnZXdpanppZ2Que0NvbHVtbjE0MywxNDJ9JnF1b3Q7LCZxdW90O1NlY3Rpb24xL21hcHBpbmdfYnVkZ2V0LVRCT193ZWlnaHRlZCAoNCkvVHlwZSBnZXdpanppZ2Que0NvbHVtbjE0NCwxNDN9JnF1b3Q7LCZxdW90O1NlY3Rpb24xL21hcHBpbmdfYnVkZ2V0LVRCT193ZWlnaHRlZCAoNCkvVHlwZSBnZXdpanppZ2Que0NvbHVtbjE0NSwxNDR9JnF1b3Q7LCZxdW90O1NlY3Rpb24xL21hcHBpbmdfYnVkZ2V0LVRCT193ZWlnaHRlZCAoNCkvVHlwZSBnZXdpanppZ2Que0NvbHVtbjE0NiwxNDV9JnF1b3Q7LCZxdW90O1NlY3Rpb24xL21hcHBpbmdfYnVkZ2V0LVRCT193ZWlnaHRlZCAoNCkvVHlwZSBnZXdpanppZ2Que0NvbHVtbjE0NywxNDZ9JnF1b3Q7LCZxdW90O1NlY3Rpb24xL21hcHBpbmdfYnVkZ2V0LVRCT193ZWlnaHRlZCAoNCkvVHlwZSBnZXdpanppZ2Que0NvbHVtbjE0OCwxNDd9JnF1b3Q7LCZxdW90O1NlY3Rpb24xL21hcHBpbmdfYnVkZ2V0LVRCT193ZWlnaHRlZCAoNCkvVHlwZSBnZXdpanppZ2Que0NvbHVtbjE0OSwxNDh9JnF1b3Q7LCZxdW90O1NlY3Rpb24xL21hcHBpbmdfYnVkZ2V0LVRCT193ZWlnaHRlZCAoNCkvVHlwZSBnZXdpanppZ2Que0NvbHVtbjE1MCwxNDl9JnF1b3Q7LCZxdW90O1NlY3Rpb24xL21hcHBpbmdfYnVkZ2V0LVRCT193ZWlnaHRlZCAoNCkvVHlwZSBnZXdpanppZ2Que0NvbHVtbjE1MSwxNTB9JnF1b3Q7LCZxdW90O1NlY3Rpb24xL21hcHBpbmdfYnVkZ2V0LVRCT193ZWlnaHRlZCAoNCkvVHlwZSBnZXdpanppZ2Que0NvbHVtbjE1MiwxNTF9JnF1b3Q7LCZxdW90O1NlY3Rpb24xL21hcHBpbmdfYnVkZ2V0LVRCT193ZWlnaHRlZCAoNCkvVHlwZSBnZXdpanppZ2Que0NvbHVtbjE1MywxNTJ9JnF1b3Q7LCZxdW90O1NlY3Rpb24xL21hcHBpbmdfYnVkZ2V0LVRCT193ZWlnaHRlZCAoNCkvVHlwZSBnZXdpanppZ2Que0NvbHVtbjE1NCwxNTN9JnF1b3Q7LCZxdW90O1NlY3Rpb24xL21hcHBpbmdfYnVkZ2V0LVRCT193ZWlnaHRlZCAoNCkvVHlwZSBnZXdpanppZ2Que0NvbHVtbjE1NSwxNTR9JnF1b3Q7LCZxdW90O1NlY3Rpb24xL21hcHBpbmdfYnVkZ2V0LVRCT193ZWlnaHRlZCAoNCkvVHlwZSBnZXdpanppZ2Que0NvbHVtbjE1NiwxNTV9JnF1b3Q7LCZxdW90O1NlY3Rpb24xL21hcHBpbmdfYnVkZ2V0LVRCT193ZWlnaHRlZCAoNCkvVHlwZSBnZXdpanppZ2Que0NvbHVtbjE1NywxNTZ9JnF1b3Q7LCZxdW90O1NlY3Rpb24xL21hcHBpbmdfYnVkZ2V0LVRCT193ZWlnaHRlZCAoNCkvVHlwZSBnZXdpanppZ2Que0NvbHVtbjE1OCwxNTd9JnF1b3Q7LCZxdW90O1NlY3Rpb24xL21hcHBpbmdfYnVkZ2V0LVRCT193ZWlnaHRlZCAoNCkvVHlwZSBnZXdpanppZ2Que0NvbHVtbjE1OSwxNTh9JnF1b3Q7LCZxdW90O1NlY3Rpb24xL21hcHBpbmdfYnVkZ2V0LVRCT193ZWlnaHRlZCAoNCkvVHlwZSBnZXdpanppZ2Que0NvbHVtbjE2MCwxNTl9JnF1b3Q7LCZxdW90O1NlY3Rpb24xL21hcHBpbmdfYnVkZ2V0LVRCT193ZWlnaHRlZCAoNCkvVHlwZSBnZXdpanppZ2Que0NvbHVtbjE2MSwxNjB9JnF1b3Q7LCZxdW90O1NlY3Rpb24xL21hcHBpbmdfYnVkZ2V0LVRCT193ZWlnaHRlZCAoNCkvVHlwZSBnZXdpanppZ2Que0NvbHVtbjE2MiwxNjF9JnF1b3Q7LCZxdW90O1NlY3Rpb24xL21hcHBpbmdfYnVkZ2V0LVRCT193ZWlnaHRlZCAoNCkvVHlwZSBnZXdpanppZ2Que0NvbHVtbjE2MywxNjJ9JnF1b3Q7LCZxdW90O1NlY3Rpb24xL21hcHBpbmdfYnVkZ2V0LVRCT193ZWlnaHRlZCAoNCkvVHlwZSBnZXdpanppZ2Que0NvbHVtbjE2NCwxNjN9JnF1b3Q7LCZxdW90O1NlY3Rpb24xL21hcHBpbmdfYnVkZ2V0LVRCT193ZWlnaHRlZCAoNCkvVHlwZSBnZXdpanppZ2Que0NvbHVtbjE2NSwxNjR9JnF1b3Q7LCZxdW90O1NlY3Rpb24xL21hcHBpbmdfYnVkZ2V0LVRCT193ZWlnaHRlZCAoNCkvVHlwZSBnZXdpanppZ2Que0NvbHVtbjE2NiwxNjV9JnF1b3Q7LCZxdW90O1NlY3Rpb24xL21hcHBpbmdfYnVkZ2V0LVRCT193ZWlnaHRlZCAoNCkvVHlwZSBnZXdpanppZ2Que0NvbHVtbjE2NywxNjZ9JnF1b3Q7LCZxdW90O1NlY3Rpb24xL21hcHBpbmdfYnVkZ2V0LVRCT193ZWlnaHRlZCAoNCkvVHlwZSBnZXdpanppZ2Que0NvbHVtbjE2OCwxNjd9JnF1b3Q7LCZxdW90O1NlY3Rpb24xL21hcHBpbmdfYnVkZ2V0LVRCT193ZWlnaHRlZCAoNCkvVHlwZSBnZXdpanppZ2Que0NvbHVtbjE2OSwxNjh9JnF1b3Q7LCZxdW90O1NlY3Rpb24xL21hcHBpbmdfYnVkZ2V0LVRCT193ZWlnaHRlZCAoNCkvVHlwZSBnZXdpanppZ2Que0NvbHVtbjE3MCwxNjl9JnF1b3Q7LCZxdW90O1NlY3Rpb24xL21hcHBpbmdfYnVkZ2V0LVRCT193ZWlnaHRlZCAoNCkvVHlwZSBnZXdpanppZ2Que0NvbHVtbjE3MSwxNzB9JnF1b3Q7LCZxdW90O1NlY3Rpb24xL21hcHBpbmdfYnVkZ2V0LVRCT193ZWlnaHRlZCAoNCkvVHlwZSBnZXdpanppZ2Que0NvbHVtbjE3MiwxNzF9JnF1b3Q7LCZxdW90O1NlY3Rpb24xL21hcHBpbmdfYnVkZ2V0LVRCT193ZWlnaHRlZCAoNCkvVHlwZSBnZXdpanppZ2Que0NvbHVtbjE3MywxNzJ9JnF1b3Q7LCZxdW90O1NlY3Rpb24xL21hcHBpbmdfYnVkZ2V0LVRCT193ZWlnaHRlZCAoNCkvVHlwZSBnZXdpanppZ2Que0NvbHVtbjE3NCwxNzN9JnF1b3Q7LCZxdW90O1NlY3Rpb24xL21hcHBpbmdfYnVkZ2V0LVRCT193ZWlnaHRlZCAoNCkvVHlwZSBnZXdpanppZ2Que0NvbHVtbjE3NSwxNzR9JnF1b3Q7LCZxdW90O1NlY3Rpb24xL21hcHBpbmdfYnVkZ2V0LVRCT193ZWlnaHRlZCAoNCkvVHlwZSBnZXdpanppZ2Que0NvbHVtbjE3NiwxNzV9JnF1b3Q7LCZxdW90O1NlY3Rpb24xL21hcHBpbmdfYnVkZ2V0LVRCT193ZWlnaHRlZCAoNCkvVHlwZSBnZXdpanppZ2Que0NvbHVtbjE3NywxNzZ9JnF1b3Q7LCZxdW90O1NlY3Rpb24xL21hcHBpbmdfYnVkZ2V0LVRCT193ZWlnaHRlZCAoNCkvVHlwZSBnZXdpanppZ2Que0NvbHVtbjE3OCwxNzd9JnF1b3Q7LCZxdW90O1NlY3Rpb24xL21hcHBpbmdfYnVkZ2V0LVRCT193ZWlnaHRlZCAoNCkvVHlwZSBnZXdpanppZ2Que0NvbHVtbjE3OSwxNzh9JnF1b3Q7LCZxdW90O1NlY3Rpb24xL21hcHBpbmdfYnVkZ2V0LVRCT193ZWlnaHRlZCAoNCkvVHlwZSBnZXdpanppZ2Que0NvbHVtbjE4MCwxNzl9JnF1b3Q7LCZxdW90O1NlY3Rpb24xL21hcHBpbmdfYnVkZ2V0LVRCT193ZWlnaHRlZCAoNCkvVHlwZSBnZXdpanppZ2Que0NvbHVtbjE4MSwxODB9JnF1b3Q7LCZxdW90O1NlY3Rpb24xL21hcHBpbmdfYnVkZ2V0LVRCT193ZWlnaHRlZCAoNCkvVHlwZSBnZXdpanppZ2Que0NvbHVtbjE4MiwxODF9JnF1b3Q7LCZxdW90O1NlY3Rpb24xL21hcHBpbmdfYnVkZ2V0LVRCT193ZWlnaHRlZCAoNCkvVHlwZSBnZXdpanppZ2Que0NvbHVtbjE4MywxODJ9JnF1b3Q7LCZxdW90O1NlY3Rpb24xL21hcHBpbmdfYnVkZ2V0LVRCT193ZWlnaHRlZCAoNCkvVHlwZSBnZXdpanppZ2Que0NvbHVtbjE4NCwxODN9JnF1b3Q7LCZxdW90O1NlY3Rpb24xL21hcHBpbmdfYnVkZ2V0LVRCT193ZWlnaHRlZCAoNCkvVHlwZSBnZXdpanppZ2Que0NvbHVtbjE4NSwxODR9JnF1b3Q7LCZxdW90O1NlY3Rpb24xL21hcHBpbmdfYnVkZ2V0LVRCT193ZWlnaHRlZCAoNCkvVHlwZSBnZXdpanppZ2Que0NvbHVtbjE4NiwxODV9JnF1b3Q7LCZxdW90O1NlY3Rpb24xL21hcHBpbmdfYnVkZ2V0LVRCT193ZWlnaHRlZCAoNCkvVHlwZSBnZXdpanppZ2Que0NvbHVtbjE4NywxODZ9JnF1b3Q7LCZxdW90O1NlY3Rpb24xL21hcHBpbmdfYnVkZ2V0LVRCT193ZWlnaHRlZCAoNCkvVHlwZSBnZXdpanppZ2Que0NvbHVtbjE4OCwxODd9JnF1b3Q7LCZxdW90O1NlY3Rpb24xL21hcHBpbmdfYnVkZ2V0LVRCT193ZWlnaHRlZCAoNCkvVHlwZSBnZXdpanppZ2Que0NvbHVtbjE4OSwxODh9JnF1b3Q7LCZxdW90O1NlY3Rpb24xL21hcHBpbmdfYnVkZ2V0LVRCT193ZWlnaHRlZCAoNCkvVHlwZSBnZXdpanppZ2Que0NvbHVtbjE5MCwxODl9JnF1b3Q7LCZxdW90O1NlY3Rpb24xL21hcHBpbmdfYnVkZ2V0LVRCT193ZWlnaHRlZCAoNCkvVHlwZSBnZXdpanppZ2Que0NvbHVtbjE5MSwxOTB9JnF1b3Q7LCZxdW90O1NlY3Rpb24xL21hcHBpbmdfYnVkZ2V0LVRCT193ZWlnaHRlZCAoNCkvVHlwZSBnZXdpanppZ2Que0NvbHVtbjE5MiwxOTF9JnF1b3Q7LCZxdW90O1NlY3Rpb24xL21hcHBpbmdfYnVkZ2V0LVRCT193ZWlnaHRlZCAoNCkvVHlwZSBnZXdpanppZ2Que0NvbHVtbjE5MywxOTJ9JnF1b3Q7LCZxdW90O1NlY3Rpb24xL21hcHBpbmdfYnVkZ2V0LVRCT193ZWlnaHRlZCAoNCkvVHlwZSBnZXdpanppZ2Que0NvbHVtbjE5NCwxOTN9JnF1b3Q7LCZxdW90O1NlY3Rpb24xL21hcHBpbmdfYnVkZ2V0LVRCT193ZWlnaHRlZCAoNCkvVHlwZSBnZXdpanppZ2Que0NvbHVtbjE5NSwxOTR9JnF1b3Q7LCZxdW90O1NlY3Rpb24xL21hcHBpbmdfYnVkZ2V0LVRCT193ZWlnaHRlZCAoNCkvVHlwZSBnZXdpanppZ2Que0NvbHVtbjE5NiwxOTV9JnF1b3Q7LCZxdW90O1NlY3Rpb24xL21hcHBpbmdfYnVkZ2V0LVRCT193ZWlnaHRlZCAoNCkvVHlwZSBnZXdpanppZ2Que0NvbHVtbjE5NywxOTZ9JnF1b3Q7LCZxdW90O1NlY3Rpb24xL21hcHBpbmdfYnVkZ2V0LVRCT193ZWlnaHRlZCAoNCkvVHlwZSBnZXdpanppZ2Que0NvbHVtbjE5OCwxOTd9JnF1b3Q7LCZxdW90O1NlY3Rpb24xL21hcHBpbmdfYnVkZ2V0LVRCT193ZWlnaHRlZCAoNCkvVHlwZSBnZXdpanppZ2Que0NvbHVtbjE5OSwxOTh9JnF1b3Q7LCZxdW90O1NlY3Rpb24xL21hcHBpbmdfYnVkZ2V0LVRCT193ZWlnaHRlZCAoNCkvVHlwZSBnZXdpanppZ2Que0NvbHVtbjIwMCwxOTl9JnF1b3Q7LCZxdW90O1NlY3Rpb24xL21hcHBpbmdfYnVkZ2V0LVRCT193ZWlnaHRlZCAoNCkvVHlwZSBnZXdpanppZ2Que0NvbHVtbjIwMSwyMDB9JnF1b3Q7LCZxdW90O1NlY3Rpb24xL21hcHBpbmdfYnVkZ2V0LVRCT193ZWlnaHRlZCAoNCkvVHlwZSBnZXdpanppZ2Que0NvbHVtbjIwMiwyMDF9JnF1b3Q7LCZxdW90O1NlY3Rpb24xL21hcHBpbmdfYnVkZ2V0LVRCT193ZWlnaHRlZCAoNCkvVHlwZSBnZXdpanppZ2Que0NvbHVtbjIwMywyMDJ9JnF1b3Q7LCZxdW90O1NlY3Rpb24xL21hcHBpbmdfYnVkZ2V0LVRCT193ZWlnaHRlZCAoNCkvVHlwZSBnZXdpanppZ2Que0NvbHVtbjIwNCwyMDN9JnF1b3Q7LCZxdW90O1NlY3Rpb24xL21hcHBpbmdfYnVkZ2V0LVRCT193ZWlnaHRlZCAoNCkvVHlwZSBnZXdpanppZ2Que0NvbHVtbjIwNSwyMDR9JnF1b3Q7LCZxdW90O1NlY3Rpb24xL21hcHBpbmdfYnVkZ2V0LVRCT193ZWlnaHRlZCAoNCkvVHlwZSBnZXdpanppZ2Que0NvbHVtbjIwNiwyMDV9JnF1b3Q7LCZxdW90O1NlY3Rpb24xL21hcHBpbmdfYnVkZ2V0LVRCT193ZWlnaHRlZCAoNCkvVHlwZSBnZXdpanppZ2Que0NvbHVtbjIwNywyMDZ9JnF1b3Q7LCZxdW90O1NlY3Rpb24xL21hcHBpbmdfYnVkZ2V0LVRCT193ZWlnaHRlZCAoNCkvVHlwZSBnZXdpanppZ2Que0NvbHVtbjIwOCwyMDd9JnF1b3Q7LCZxdW90O1NlY3Rpb24xL21hcHBpbmdfYnVkZ2V0LVRCT193ZWlnaHRlZCAoNCkvVHlwZSBnZXdpanppZ2Que0NvbHVtbjIwOSwyMDh9JnF1b3Q7LCZxdW90O1NlY3Rpb24xL21hcHBpbmdfYnVkZ2V0LVRCT193ZWlnaHRlZCAoNCkvVHlwZSBnZXdpanppZ2Que0NvbHVtbjIxMCwyMDl9JnF1b3Q7LCZxdW90O1NlY3Rpb24xL21hcHBpbmdfYnVkZ2V0LVRCT193ZWlnaHRlZCAoNCkvVHlwZSBnZXdpanppZ2Que0NvbHVtbjIxMSwyMTB9JnF1b3Q7LCZxdW90O1NlY3Rpb24xL21hcHBpbmdfYnVkZ2V0LVRCT193ZWlnaHRlZCAoNCkvVHlwZSBnZXdpanppZ2Que0NvbHVtbjIxMiwyMTF9JnF1b3Q7LCZxdW90O1NlY3Rpb24xL21hcHBpbmdfYnVkZ2V0LVRCT193ZWlnaHRlZCAoNCkvVHlwZSBnZXdpanppZ2Que0NvbHVtbjIxMywyMTJ9JnF1b3Q7LCZxdW90O1NlY3Rpb24xL21hcHBpbmdfYnVkZ2V0LVRCT193ZWlnaHRlZCAoNCkvVHlwZSBnZXdpanppZ2Que0NvbHVtbjIxNCwyMTN9JnF1b3Q7LCZxdW90O1NlY3Rpb24xL21hcHBpbmdfYnVkZ2V0LVRCT193ZWlnaHRlZCAoNCkvVHlwZSBnZXdpanppZ2Que0NvbHVtbjIxNSwyMTR9JnF1b3Q7LCZxdW90O1NlY3Rpb24xL21hcHBpbmdfYnVkZ2V0LVRCT193ZWlnaHRlZCAoNCkvVHlwZSBnZXdpanppZ2Que0NvbHVtbjIxNiwyMTV9JnF1b3Q7LCZxdW90O1NlY3Rpb24xL21hcHBpbmdfYnVkZ2V0LVRCT193ZWlnaHRlZCAoNCkvVHlwZSBnZXdpanppZ2Que0NvbHVtbjIxNywyMTZ9JnF1b3Q7LCZxdW90O1NlY3Rpb24xL21hcHBpbmdfYnVkZ2V0LVRCT193ZWlnaHRlZCAoNCkvVHlwZSBnZXdpanppZ2Que0NvbHVtbjIxOCwyMTd9JnF1b3Q7LCZxdW90O1NlY3Rpb24xL21hcHBpbmdfYnVkZ2V0LVRCT193ZWlnaHRlZCAoNCkvVHlwZSBnZXdpanppZ2Que0NvbHVtbjIxOSwyMTh9JnF1b3Q7LCZxdW90O1NlY3Rpb24xL21hcHBpbmdfYnVkZ2V0LVRCT193ZWlnaHRlZCAoNCkvVHlwZSBnZXdpanppZ2Que0NvbHVtbjIyMCwyMTl9JnF1b3Q7LCZxdW90O1NlY3Rpb24xL21hcHBpbmdfYnVkZ2V0LVRCT193ZWlnaHRlZCAoNCkvVHlwZSBnZXdpanppZ2Que0NvbHVtbjIyMSwyMjB9JnF1b3Q7LCZxdW90O1NlY3Rpb24xL21hcHBpbmdfYnVkZ2V0LVRCT193ZWlnaHRlZCAoNCkvVHlwZSBnZXdpanppZ2Que0NvbHVtbjIyMiwyMjF9JnF1b3Q7LCZxdW90O1NlY3Rpb24xL21hcHBpbmdfYnVkZ2V0LVRCT193ZWlnaHRlZCAoNCkvVHlwZSBnZXdpanppZ2Que0NvbHVtbjIyMywyMjJ9JnF1b3Q7LCZxdW90O1NlY3Rpb24xL21hcHBpbmdfYnVkZ2V0LVRCT193ZWlnaHRlZCAoNCkvVHlwZSBnZXdpanppZ2Que0NvbHVtbjIyNCwyMjN9JnF1b3Q7LCZxdW90O1NlY3Rpb24xL21hcHBpbmdfYnVkZ2V0LVRCT193ZWlnaHRlZCAoNCkvVHlwZSBnZXdpanppZ2Que0NvbHVtbjIyNSwyMjR9JnF1b3Q7LCZxdW90O1NlY3Rpb24xL21hcHBpbmdfYnVkZ2V0LVRCT193ZWlnaHRlZCAoNCkvVHlwZSBnZXdpanppZ2Que0NvbHVtbjIyNiwyMjV9JnF1b3Q7LCZxdW90O1NlY3Rpb24xL21hcHBpbmdfYnVkZ2V0LVRCT193ZWlnaHRlZCAoNCkvVHlwZSBnZXdpanppZ2Que0NvbHVtbjIyNywyMjZ9JnF1b3Q7LCZxdW90O1NlY3Rpb24xL21hcHBpbmdfYnVkZ2V0LVRCT193ZWlnaHRlZCAoNCkvVHlwZSBnZXdpanppZ2Que0NvbHVtbjIyOCwyMjd9JnF1b3Q7LCZxdW90O1NlY3Rpb24xL21hcHBpbmdfYnVkZ2V0LVRCT193ZWlnaHRlZCAoNCkvVHlwZSBnZXdpanppZ2Que0NvbHVtbjIyOSwyMjh9JnF1b3Q7LCZxdW90O1NlY3Rpb24xL21hcHBpbmdfYnVkZ2V0LVRCT193ZWlnaHRlZCAoNCkvVHlwZSBnZXdpanppZ2Que0NvbHVtbjIzMCwyMjl9JnF1b3Q7LCZxdW90O1NlY3Rpb24xL21hcHBpbmdfYnVkZ2V0LVRCT193ZWlnaHRlZCAoNCkvVHlwZSBnZXdpanppZ2Que0NvbHVtbjIzMSwyMzB9JnF1b3Q7LCZxdW90O1NlY3Rpb24xL21hcHBpbmdfYnVkZ2V0LVRCT193ZWlnaHRlZCAoNCkvVHlwZSBnZXdpanppZ2Que0NvbHVtbjIzMiwyMzF9JnF1b3Q7LCZxdW90O1NlY3Rpb24xL21hcHBpbmdfYnVkZ2V0LVRCT193ZWlnaHRlZCAoNCkvVHlwZSBnZXdpanppZ2Que0NvbHVtbjIzMywyMzJ9JnF1b3Q7LCZxdW90O1NlY3Rpb24xL21hcHBpbmdfYnVkZ2V0LVRCT193ZWlnaHRlZCAoNCkvVHlwZSBnZXdpanppZ2Que0NvbHVtbjIzNCwyMzN9JnF1b3Q7LCZxdW90O1NlY3Rpb24xL21hcHBpbmdfYnVkZ2V0LVRCT193ZWlnaHRlZCAoNCkvVHlwZSBnZXdpanppZ2Que0NvbHVtbjIzNSwyMzR9JnF1b3Q7LCZxdW90O1NlY3Rpb24xL21hcHBpbmdfYnVkZ2V0LVRCT193ZWlnaHRlZCAoNCkvVHlwZSBnZXdpanppZ2Que0NvbHVtbjIzNiwyMzV9JnF1b3Q7LCZxdW90O1NlY3Rpb24xL21hcHBpbmdfYnVkZ2V0LVRCT193ZWlnaHRlZCAoNCkvVHlwZSBnZXdpanppZ2Que0NvbHVtbjIzNywyMzZ9JnF1b3Q7LCZxdW90O1NlY3Rpb24xL21hcHBpbmdfYnVkZ2V0LVRCT193ZWlnaHRlZCAoNCkvVHlwZSBnZXdpanppZ2Que0NvbHVtbjIzOCwyMzd9JnF1b3Q7LCZxdW90O1NlY3Rpb24xL21hcHBpbmdfYnVkZ2V0LVRCT193ZWlnaHRlZCAoNCkvVHlwZSBnZXdpanppZ2Que0NvbHVtbjIzOSwyMzh9JnF1b3Q7LCZxdW90O1NlY3Rpb24xL21hcHBpbmdfYnVkZ2V0LVRCT193ZWlnaHRlZCAoNCkvVHlwZSBnZXdpanppZ2Que0NvbHVtbjI0MCwyMzl9JnF1b3Q7LCZxdW90O1NlY3Rpb24xL21hcHBpbmdfYnVkZ2V0LVRCT193ZWlnaHRlZCAoNCkvVHlwZSBnZXdpanppZ2Que0NvbHVtbjI0MSwyNDB9JnF1b3Q7LCZxdW90O1NlY3Rpb24xL21hcHBpbmdfYnVkZ2V0LVRCT193ZWlnaHRlZCAoNCkvVHlwZSBnZXdpanppZ2Que0NvbHVtbjI0MiwyNDF9JnF1b3Q7LCZxdW90O1NlY3Rpb24xL21hcHBpbmdfYnVkZ2V0LVRCT193ZWlnaHRlZCAoNCkvVHlwZSBnZXdpanppZ2Que0NvbHVtbjI0MywyNDJ9JnF1b3Q7LCZxdW90O1NlY3Rpb24xL21hcHBpbmdfYnVkZ2V0LVRCT193ZWlnaHRlZCAoNCkvVHlwZSBnZXdpanppZ2Que0NvbHVtbjI0NCwyNDN9JnF1b3Q7LCZxdW90O1NlY3Rpb24xL21hcHBpbmdfYnVkZ2V0LVRCT193ZWlnaHRlZCAoNCkvVHlwZSBnZXdpanppZ2Que0NvbHVtbjI0NSwyNDR9JnF1b3Q7LCZxdW90O1NlY3Rpb24xL21hcHBpbmdfYnVkZ2V0LVRCT193ZWlnaHRlZCAoNCkvVHlwZSBnZXdpanppZ2Que0NvbHVtbjI0NiwyNDV9JnF1b3Q7LCZxdW90O1NlY3Rpb24xL21hcHBpbmdfYnVkZ2V0LVRCT193ZWlnaHRlZCAoNCkvVHlwZSBnZXdpanppZ2Que0NvbHVtbjI0NywyNDZ9JnF1b3Q7LCZxdW90O1NlY3Rpb24xL21hcHBpbmdfYnVkZ2V0LVRCT193ZWlnaHRlZCAoNCkvVHlwZSBnZXdpanppZ2Que0NvbHVtbjI0OCwyNDd9JnF1b3Q7LCZxdW90O1NlY3Rpb24xL21hcHBpbmdfYnVkZ2V0LVRCT193ZWlnaHRlZCAoNCkvVHlwZSBnZXdpanppZ2Que0NvbHVtbjI0OSwyNDh9JnF1b3Q7LCZxdW90O1NlY3Rpb24xL21hcHBpbmdfYnVkZ2V0LVRCT193ZWlnaHRlZCAoNCkvVHlwZSBnZXdpanppZ2Que0NvbHVtbjI1MCwyNDl9JnF1b3Q7LCZxdW90O1NlY3Rpb24xL21hcHBpbmdfYnVkZ2V0LVRCT193ZWlnaHRlZCAoNCkvVHlwZSBnZXdpanppZ2Que0NvbHVtbjI1MSwyNTB9JnF1b3Q7LCZxdW90O1NlY3Rpb24xL21hcHBpbmdfYnVkZ2V0LVRCT193ZWlnaHRlZCAoNCkvVHlwZSBnZXdpanppZ2Que0NvbHVtbjI1MiwyNTF9JnF1b3Q7LCZxdW90O1NlY3Rpb24xL21hcHBpbmdfYnVkZ2V0LVRCT193ZWlnaHRlZCAoNCkvVHlwZSBnZXdpanppZ2Que0NvbHVtbjI1MywyNTJ9JnF1b3Q7LCZxdW90O1NlY3Rpb24xL21hcHBpbmdfYnVkZ2V0LVRCT193ZWlnaHRlZCAoNCkvVHlwZSBnZXdpanppZ2Que0NvbHVtbjI1NCwyNTN9JnF1b3Q7LCZxdW90O1NlY3Rpb24xL21hcHBpbmdfYnVkZ2V0LVRCT193ZWlnaHRlZCAoNCkvVHlwZSBnZXdpanppZ2Que0NvbHVtbjI1NSwyNTR9JnF1b3Q7LCZxdW90O1NlY3Rpb24xL21hcHBpbmdfYnVkZ2V0LVRCT193ZWlnaHRlZCAoNCkvVHlwZSBnZXdpanppZ2Que0NvbHVtbjI1NiwyNTV9JnF1b3Q7LCZxdW90O1NlY3Rpb24xL21hcHBpbmdfYnVkZ2V0LVRCT193ZWlnaHRlZCAoNCkvVHlwZSBnZXdpanppZ2Que0NvbHVtbjI1NywyNTZ9JnF1b3Q7LCZxdW90O1NlY3Rpb24xL21hcHBpbmdfYnVkZ2V0LVRCT193ZWlnaHRlZCAoNCkvVHlwZSBnZXdpanppZ2Que0NvbHVtbjI1OCwyNTd9JnF1b3Q7LCZxdW90O1NlY3Rpb24xL21hcHBpbmdfYnVkZ2V0LVRCT193ZWlnaHRlZCAoNCkvVHlwZSBnZXdpanppZ2Que0NvbHVtbjI1OSwyNTh9JnF1b3Q7LCZxdW90O1NlY3Rpb24xL21hcHBpbmdfYnVkZ2V0LVRCT193ZWlnaHRlZCAoNCkvVHlwZSBnZXdpanppZ2Que0NvbHVtbjI2MCwyNTl9JnF1b3Q7LCZxdW90O1NlY3Rpb24xL21hcHBpbmdfYnVkZ2V0LVRCT193ZWlnaHRlZCAoNCkvVHlwZSBnZXdpanppZ2Que0NvbHVtbjI2MSwyNjB9JnF1b3Q7LCZxdW90O1NlY3Rpb24xL21hcHBpbmdfYnVkZ2V0LVRCT193ZWlnaHRlZCAoNCkvVHlwZSBnZXdpanppZ2Que0NvbHVtbjI2MiwyNjF9JnF1b3Q7LCZxdW90O1NlY3Rpb24xL21hcHBpbmdfYnVkZ2V0LVRCT193ZWlnaHRlZCAoNCkvVHlwZSBnZXdpanppZ2Que0NvbHVtbjI2MywyNjJ9JnF1b3Q7LCZxdW90O1NlY3Rpb24xL21hcHBpbmdfYnVkZ2V0LVRCT193ZWlnaHRlZCAoNCkvVHlwZSBnZXdpanppZ2Que0NvbHVtbjI2NCwyNjN9JnF1b3Q7LCZxdW90O1NlY3Rpb24xL21hcHBpbmdfYnVkZ2V0LVRCT193ZWlnaHRlZCAoNCkvVHlwZSBnZXdpanppZ2Que0NvbHVtbjI2NSwyNjR9JnF1b3Q7LCZxdW90O1NlY3Rpb24xL21hcHBpbmdfYnVkZ2V0LVRCT193ZWlnaHRlZCAoNCkvVHlwZSBnZXdpanppZ2Que0NvbHVtbjI2NiwyNjV9JnF1b3Q7LCZxdW90O1NlY3Rpb24xL21hcHBpbmdfYnVkZ2V0LVRCT193ZWlnaHRlZCAoNCkvVHlwZSBnZXdpanppZ2Que0NvbHVtbjI2NywyNjZ9JnF1b3Q7LCZxdW90O1NlY3Rpb24xL21hcHBpbmdfYnVkZ2V0LVRCT193ZWlnaHRlZCAoNCkvVHlwZSBnZXdpanppZ2Que0NvbHVtbjI2OCwyNjd9JnF1b3Q7LCZxdW90O1NlY3Rpb24xL21hcHBpbmdfYnVkZ2V0LVRCT193ZWlnaHRlZCAoNCkvVHlwZSBnZXdpanppZ2Que0NvbHVtbjI2OSwyNjh9JnF1b3Q7LCZxdW90O1NlY3Rpb24xL21hcHBpbmdfYnVkZ2V0LVRCT193ZWlnaHRlZCAoNCkvVHlwZSBnZXdpanppZ2Que0NvbHVtbjI3MCwyNjl9JnF1b3Q7LCZxdW90O1NlY3Rpb24xL21hcHBpbmdfYnVkZ2V0LVRCT193ZWlnaHRlZCAoNCkvVHlwZSBnZXdpanppZ2Que0NvbHVtbjI3MSwyNzB9JnF1b3Q7LCZxdW90O1NlY3Rpb24xL21hcHBpbmdfYnVkZ2V0LVRCT193ZWlnaHRlZCAoNCkvVHlwZSBnZXdpanppZ2Que0NvbHVtbjI3MiwyNzF9JnF1b3Q7LCZxdW90O1NlY3Rpb24xL21hcHBpbmdfYnVkZ2V0LVRCT193ZWlnaHRlZCAoNCkvVHlwZSBnZXdpanppZ2Que0NvbHVtbjI3MywyNzJ9JnF1b3Q7LCZxdW90O1NlY3Rpb24xL21hcHBpbmdfYnVkZ2V0LVRCT193ZWlnaHRlZCAoNCkvVHlwZSBnZXdpanppZ2Que0NvbHVtbjI3NCwyNzN9JnF1b3Q7LCZxdW90O1NlY3Rpb24xL21hcHBpbmdfYnVkZ2V0LVRCT193ZWlnaHRlZCAoNCkvVHlwZSBnZXdpanppZ2Que0NvbHVtbjI3NSwyNzR9JnF1b3Q7LCZxdW90O1NlY3Rpb24xL21hcHBpbmdfYnVkZ2V0LVRCT193ZWlnaHRlZCAoNCkvVHlwZSBnZXdpanppZ2Que0NvbHVtbjI3NiwyNzV9JnF1b3Q7LCZxdW90O1NlY3Rpb24xL21hcHBpbmdfYnVkZ2V0LVRCT193ZWlnaHRlZCAoNCkvVHlwZSBnZXdpanppZ2Que0NvbHVtbjI3NywyNzZ9JnF1b3Q7LCZxdW90O1NlY3Rpb24xL21hcHBpbmdfYnVkZ2V0LVRCT193ZWlnaHRlZCAoNCkvVHlwZSBnZXdpanppZ2Que0NvbHVtbjI3OCwyNzd9JnF1b3Q7LCZxdW90O1NlY3Rpb24xL21hcHBpbmdfYnVkZ2V0LVRCT193ZWlnaHRlZCAoNCkvVHlwZSBnZXdpanppZ2Que0NvbHVtbjI3OSwyNzh9JnF1b3Q7LCZxdW90O1NlY3Rpb24xL21hcHBpbmdfYnVkZ2V0LVRCT193ZWlnaHRlZCAoNCkvVHlwZSBnZXdpanppZ2Que0NvbHVtbjI4MCwyNzl9JnF1b3Q7LCZxdW90O1NlY3Rpb24xL21hcHBpbmdfYnVkZ2V0LVRCT193ZWlnaHRlZCAoNCkvVHlwZSBnZXdpanppZ2Que0NvbHVtbjI4MSwyODB9JnF1b3Q7LCZxdW90O1NlY3Rpb24xL21hcHBpbmdfYnVkZ2V0LVRCT193ZWlnaHRlZCAoNCkvVHlwZSBnZXdpanppZ2Que0NvbHVtbjI4MiwyODF9JnF1b3Q7LCZxdW90O1NlY3Rpb24xL21hcHBpbmdfYnVkZ2V0LVRCT193ZWlnaHRlZCAoNCkvVHlwZSBnZXdpanppZ2Que0NvbHVtbjI4MywyODJ9JnF1b3Q7LCZxdW90O1NlY3Rpb24xL21hcHBpbmdfYnVkZ2V0LVRCT193ZWlnaHRlZCAoNCkvVHlwZSBnZXdpanppZ2Que0NvbHVtbjI4NCwyODN9JnF1b3Q7LCZxdW90O1NlY3Rpb24xL21hcHBpbmdfYnVkZ2V0LVRCT193ZWlnaHRlZCAoNCkvVHlwZSBnZXdpanppZ2Que0NvbHVtbjI4NSwyODR9JnF1b3Q7LCZxdW90O1NlY3Rpb24xL21hcHBpbmdfYnVkZ2V0LVRCT193ZWlnaHRlZCAoNCkvVHlwZSBnZXdpanppZ2Que0NvbHVtbjI4NiwyODV9JnF1b3Q7LCZxdW90O1NlY3Rpb24xL21hcHBpbmdfYnVkZ2V0LVRCT193ZWlnaHRlZCAoNCkvVHlwZSBnZXdpanppZ2Que0NvbHVtbjI4NywyODZ9JnF1b3Q7LCZxdW90O1NlY3Rpb24xL21hcHBpbmdfYnVkZ2V0LVRCT193ZWlnaHRlZCAoNCkvVHlwZSBnZXdpanppZ2Que0NvbHVtbjI4OCwyODd9JnF1b3Q7LCZxdW90O1NlY3Rpb24xL21hcHBpbmdfYnVkZ2V0LVRCT193ZWlnaHRlZCAoNCkvVHlwZSBnZXdpanppZ2Que0NvbHVtbjI4OSwyODh9JnF1b3Q7LCZxdW90O1NlY3Rpb24xL21hcHBpbmdfYnVkZ2V0LVRCT193ZWlnaHRlZCAoNCkvVHlwZSBnZXdpanppZ2Que0NvbHVtbjI5MCwyODl9JnF1b3Q7LCZxdW90O1NlY3Rpb24xL21hcHBpbmdfYnVkZ2V0LVRCT193ZWlnaHRlZCAoNCkvVHlwZSBnZXdpanppZ2Que0NvbHVtbjI5MSwyOTB9JnF1b3Q7LCZxdW90O1NlY3Rpb24xL21hcHBpbmdfYnVkZ2V0LVRCT193ZWlnaHRlZCAoNCkvVHlwZSBnZXdpanppZ2Que0NvbHVtbjI5MiwyOTF9JnF1b3Q7LCZxdW90O1NlY3Rpb24xL21hcHBpbmdfYnVkZ2V0LVRCT193ZWlnaHRlZCAoNCkvVHlwZSBnZXdpanppZ2Que0NvbHVtbjI5MywyOTJ9JnF1b3Q7LCZxdW90O1NlY3Rpb24xL21hcHBpbmdfYnVkZ2V0LVRCT193ZWlnaHRlZCAoNCkvVHlwZSBnZXdpanppZ2Que0NvbHVtbjI5NCwyOTN9JnF1b3Q7LCZxdW90O1NlY3Rpb24xL21hcHBpbmdfYnVkZ2V0LVRCT193ZWlnaHRlZCAoNCkvVHlwZSBnZXdpanppZ2Que0NvbHVtbjI5NSwyOTR9JnF1b3Q7LCZxdW90O1NlY3Rpb24xL21hcHBpbmdfYnVkZ2V0LVRCT193ZWlnaHRlZCAoNCkvVHlwZSBnZXdpanppZ2Que0NvbHVtbjI5NiwyOTV9JnF1b3Q7LCZxdW90O1NlY3Rpb24xL21hcHBpbmdfYnVkZ2V0LVRCT193ZWlnaHRlZCAoNCkvVHlwZSBnZXdpanppZ2Que0NvbHVtbjI5NywyOTZ9JnF1b3Q7LCZxdW90O1NlY3Rpb24xL21hcHBpbmdfYnVkZ2V0LVRCT193ZWlnaHRlZCAoNCkvVHlwZSBnZXdpanppZ2Que0NvbHVtbjI5OCwyOTd9JnF1b3Q7LCZxdW90O1NlY3Rpb24xL21hcHBpbmdfYnVkZ2V0LVRCT193ZWlnaHRlZCAoNCkvVHlwZSBnZXdpanppZ2Que0NvbHVtbjI5OSwyOTh9JnF1b3Q7LCZxdW90O1NlY3Rpb24xL21hcHBpbmdfYnVkZ2V0LVRCT193ZWlnaHRlZCAoNCkvVHlwZSBnZXdpanppZ2Que0NvbHVtbjMwMCwyOTl9JnF1b3Q7LCZxdW90O1NlY3Rpb24xL21hcHBpbmdfYnVkZ2V0LVRCT193ZWlnaHRlZCAoNCkvVHlwZSBnZXdpanppZ2Que0NvbHVtbjMwMSwzMDB9JnF1b3Q7LCZxdW90O1NlY3Rpb24xL21hcHBpbmdfYnVkZ2V0LVRCT193ZWlnaHRlZCAoNCkvVHlwZSBnZXdpanppZ2Que0NvbHVtbjMwMiwzMDF9JnF1b3Q7LCZxdW90O1NlY3Rpb24xL21hcHBpbmdfYnVkZ2V0LVRCT193ZWlnaHRlZCAoNCkvVHlwZSBnZXdpanppZ2Que0NvbHVtbjMwMywzMDJ9JnF1b3Q7LCZxdW90O1NlY3Rpb24xL21hcHBpbmdfYnVkZ2V0LVRCT193ZWlnaHRlZCAoNCkvVHlwZSBnZXdpanppZ2Que0NvbHVtbjMwNCwzMDN9JnF1b3Q7LCZxdW90O1NlY3Rpb24xL21hcHBpbmdfYnVkZ2V0LVRCT193ZWlnaHRlZCAoNCkvVHlwZSBnZXdpanppZ2Que0NvbHVtbjMwNSwzMDR9JnF1b3Q7LCZxdW90O1NlY3Rpb24xL21hcHBpbmdfYnVkZ2V0LVRCT193ZWlnaHRlZCAoNCkvVHlwZSBnZXdpanppZ2Que0NvbHVtbjMwNiwzMDV9JnF1b3Q7LCZxdW90O1NlY3Rpb24xL21hcHBpbmdfYnVkZ2V0LVRCT193ZWlnaHRlZCAoNCkvVHlwZSBnZXdpanppZ2Que0NvbHVtbjMwNywzMDZ9JnF1b3Q7LCZxdW90O1NlY3Rpb24xL21hcHBpbmdfYnVkZ2V0LVRCT193ZWlnaHRlZCAoNCkvVHlwZSBnZXdpanppZ2Que0NvbHVtbjMwOCwzMDd9JnF1b3Q7LCZxdW90O1NlY3Rpb24xL21hcHBpbmdfYnVkZ2V0LVRCT193ZWlnaHRlZCAoNCkvVHlwZSBnZXdpanppZ2Que0NvbHVtbjMwOSwzMDh9JnF1b3Q7LCZxdW90O1NlY3Rpb24xL21hcHBpbmdfYnVkZ2V0LVRCT193ZWlnaHRlZCAoNCkvVHlwZSBnZXdpanppZ2Que0NvbHVtbjMxMCwzMDl9JnF1b3Q7LCZxdW90O1NlY3Rpb24xL21hcHBpbmdfYnVkZ2V0LVRCT193ZWlnaHRlZCAoNCkvVHlwZSBnZXdpanppZ2Que0NvbHVtbjMxMSwzMTB9JnF1b3Q7LCZxdW90O1NlY3Rpb24xL21hcHBpbmdfYnVkZ2V0LVRCT193ZWlnaHRlZCAoNCkvVHlwZSBnZXdpanppZ2Que0NvbHVtbjMxMiwzMTF9JnF1b3Q7LCZxdW90O1NlY3Rpb24xL21hcHBpbmdfYnVkZ2V0LVRCT193ZWlnaHRlZCAoNCkvVHlwZSBnZXdpanppZ2Que0NvbHVtbjMxMywzMTJ9JnF1b3Q7LCZxdW90O1NlY3Rpb24xL21hcHBpbmdfYnVkZ2V0LVRCT193ZWlnaHRlZCAoNCkvVHlwZSBnZXdpanppZ2Que0NvbHVtbjMxNCwzMTN9JnF1b3Q7LCZxdW90O1NlY3Rpb24xL21hcHBpbmdfYnVkZ2V0LVRCT193ZWlnaHRlZCAoNCkvVHlwZSBnZXdpanppZ2Que0NvbHVtbjMxNSwzMTR9JnF1b3Q7LCZxdW90O1NlY3Rpb24xL21hcHBpbmdfYnVkZ2V0LVRCT193ZWlnaHRlZCAoNCkvVHlwZSBnZXdpanppZ2Que0NvbHVtbjMxNiwzMTV9JnF1b3Q7LCZxdW90O1NlY3Rpb24xL21hcHBpbmdfYnVkZ2V0LVRCT193ZWlnaHRlZCAoNCkvVHlwZSBnZXdpanppZ2Que0NvbHVtbjMxNywzMTZ9JnF1b3Q7XSwmcXVvdDtDb2x1bW5Db3VudCZxdW90OzozMTcsJnF1b3Q7S2V5Q29sdW1uTmFtZXMmcXVvdDs6W10sJnF1b3Q7Q29sdW1uSWRlbnRpdGllcyZxdW90OzpbJnF1b3Q7U2VjdGlvbjEvbWFwcGluZ19idWRnZXQtVEJPX3dlaWdodGVkICg0KS9UeXBlIGdld2lqemlnZC57Q29sdW1uMSwwfSZxdW90OywmcXVvdDtTZWN0aW9uMS9tYXBwaW5nX2J1ZGdldC1UQk9fd2VpZ2h0ZWQgKDQpL1R5cGUgZ2V3aWp6aWdkLntDb2x1bW4yLDF9JnF1b3Q7LCZxdW90O1NlY3Rpb24xL21hcHBpbmdfYnVkZ2V0LVRCT193ZWlnaHRlZCAoNCkvVHlwZSBnZXdpanppZ2Que0NvbHVtbjMsMn0mcXVvdDssJnF1b3Q7U2VjdGlvbjEvbWFwcGluZ19idWRnZXQtVEJPX3dlaWdodGVkICg0KS9UeXBlIGdld2lqemlnZC57Q29sdW1uNCwzfSZxdW90OywmcXVvdDtTZWN0aW9uMS9tYXBwaW5nX2J1ZGdldC1UQk9fd2VpZ2h0ZWQgKDQpL1R5cGUgZ2V3aWp6aWdkLntDb2x1bW41LDR9JnF1b3Q7LCZxdW90O1NlY3Rpb24xL21hcHBpbmdfYnVkZ2V0LVRCT193ZWlnaHRlZCAoNCkvVHlwZSBnZXdpanppZ2Que0NvbHVtbjYsNX0mcXVvdDssJnF1b3Q7U2VjdGlvbjEvbWFwcGluZ19idWRnZXQtVEJPX3dlaWdodGVkICg0KS9UeXBlIGdld2lqemlnZC57Q29sdW1uNyw2fSZxdW90OywmcXVvdDtTZWN0aW9uMS9tYXBwaW5nX2J1ZGdldC1UQk9fd2VpZ2h0ZWQgKDQpL1R5cGUgZ2V3aWp6aWdkLntDb2x1bW44LDd9JnF1b3Q7LCZxdW90O1NlY3Rpb24xL21hcHBpbmdfYnVkZ2V0LVRCT193ZWlnaHRlZCAoNCkvVHlwZSBnZXdpanppZ2Que0NvbHVtbjksOH0mcXVvdDssJnF1b3Q7U2VjdGlvbjEvbWFwcGluZ19idWRnZXQtVEJPX3dlaWdodGVkICg0KS9UeXBlIGdld2lqemlnZC57Q29sdW1uMTAsOX0mcXVvdDssJnF1b3Q7U2VjdGlvbjEvbWFwcGluZ19idWRnZXQtVEJPX3dlaWdodGVkICg0KS9UeXBlIGdld2lqemlnZC57Q29sdW1uMTEsMTB9JnF1b3Q7LCZxdW90O1NlY3Rpb24xL21hcHBpbmdfYnVkZ2V0LVRCT193ZWlnaHRlZCAoNCkvVHlwZSBnZXdpanppZ2Que0NvbHVtbjEyLDExfSZxdW90OywmcXVvdDtTZWN0aW9uMS9tYXBwaW5nX2J1ZGdldC1UQk9fd2VpZ2h0ZWQgKDQpL1R5cGUgZ2V3aWp6aWdkLntDb2x1bW4xMywxMn0mcXVvdDssJnF1b3Q7U2VjdGlvbjEvbWFwcGluZ19idWRnZXQtVEJPX3dlaWdodGVkICg0KS9UeXBlIGdld2lqemlnZC57Q29sdW1uMTQsMTN9JnF1b3Q7LCZxdW90O1NlY3Rpb24xL21hcHBpbmdfYnVkZ2V0LVRCT193ZWlnaHRlZCAoNCkvVHlwZSBnZXdpanppZ2Que0NvbHVtbjE1LDE0fSZxdW90OywmcXVvdDtTZWN0aW9uMS9tYXBwaW5nX2J1ZGdldC1UQk9fd2VpZ2h0ZWQgKDQpL1R5cGUgZ2V3aWp6aWdkLntDb2x1bW4xNiwxNX0mcXVvdDssJnF1b3Q7U2VjdGlvbjEvbWFwcGluZ19idWRnZXQtVEJPX3dlaWdodGVkICg0KS9UeXBlIGdld2lqemlnZC57Q29sdW1uMTcsMTZ9JnF1b3Q7LCZxdW90O1NlY3Rpb24xL21hcHBpbmdfYnVkZ2V0LVRCT193ZWlnaHRlZCAoNCkvVHlwZSBnZXdpanppZ2Que0NvbHVtbjE4LDE3fSZxdW90OywmcXVvdDtTZWN0aW9uMS9tYXBwaW5nX2J1ZGdldC1UQk9fd2VpZ2h0ZWQgKDQpL1R5cGUgZ2V3aWp6aWdkLntDb2x1bW4xOSwxOH0mcXVvdDssJnF1b3Q7U2VjdGlvbjEvbWFwcGluZ19idWRnZXQtVEJPX3dlaWdodGVkICg0KS9UeXBlIGdld2lqemlnZC57Q29sdW1uMjAsMTl9JnF1b3Q7LCZxdW90O1NlY3Rpb24xL21hcHBpbmdfYnVkZ2V0LVRCT193ZWlnaHRlZCAoNCkvVHlwZSBnZXdpanppZ2Que0NvbHVtbjIxLDIwfSZxdW90OywmcXVvdDtTZWN0aW9uMS9tYXBwaW5nX2J1ZGdldC1UQk9fd2VpZ2h0ZWQgKDQpL1R5cGUgZ2V3aWp6aWdkLntDb2x1bW4yMiwyMX0mcXVvdDssJnF1b3Q7U2VjdGlvbjEvbWFwcGluZ19idWRnZXQtVEJPX3dlaWdodGVkICg0KS9UeXBlIGdld2lqemlnZC57Q29sdW1uMjMsMjJ9JnF1b3Q7LCZxdW90O1NlY3Rpb24xL21hcHBpbmdfYnVkZ2V0LVRCT193ZWlnaHRlZCAoNCkvVHlwZSBnZXdpanppZ2Que0NvbHVtbjI0LDIzfSZxdW90OywmcXVvdDtTZWN0aW9uMS9tYXBwaW5nX2J1ZGdldC1UQk9fd2VpZ2h0ZWQgKDQpL1R5cGUgZ2V3aWp6aWdkLntDb2x1bW4yNSwyNH0mcXVvdDssJnF1b3Q7U2VjdGlvbjEvbWFwcGluZ19idWRnZXQtVEJPX3dlaWdodGVkICg0KS9UeXBlIGdld2lqemlnZC57Q29sdW1uMjYsMjV9JnF1b3Q7LCZxdW90O1NlY3Rpb24xL21hcHBpbmdfYnVkZ2V0LVRCT193ZWlnaHRlZCAoNCkvVHlwZSBnZXdpanppZ2Que0NvbHVtbjI3LDI2fSZxdW90OywmcXVvdDtTZWN0aW9uMS9tYXBwaW5nX2J1ZGdldC1UQk9fd2VpZ2h0ZWQgKDQpL1R5cGUgZ2V3aWp6aWdkLntDb2x1bW4yOCwyN30mcXVvdDssJnF1b3Q7U2VjdGlvbjEvbWFwcGluZ19idWRnZXQtVEJPX3dlaWdodGVkICg0KS9UeXBlIGdld2lqemlnZC57Q29sdW1uMjksMjh9JnF1b3Q7LCZxdW90O1NlY3Rpb24xL21hcHBpbmdfYnVkZ2V0LVRCT193ZWlnaHRlZCAoNCkvVHlwZSBnZXdpanppZ2Que0NvbHVtbjMwLDI5fSZxdW90OywmcXVvdDtTZWN0aW9uMS9tYXBwaW5nX2J1ZGdldC1UQk9fd2VpZ2h0ZWQgKDQpL1R5cGUgZ2V3aWp6aWdkLntDb2x1bW4zMSwzMH0mcXVvdDssJnF1b3Q7U2VjdGlvbjEvbWFwcGluZ19idWRnZXQtVEJPX3dlaWdodGVkICg0KS9UeXBlIGdld2lqemlnZC57Q29sdW1uMzIsMzF9JnF1b3Q7LCZxdW90O1NlY3Rpb24xL21hcHBpbmdfYnVkZ2V0LVRCT193ZWlnaHRlZCAoNCkvVHlwZSBnZXdpanppZ2Que0NvbHVtbjMzLDMyfSZxdW90OywmcXVvdDtTZWN0aW9uMS9tYXBwaW5nX2J1ZGdldC1UQk9fd2VpZ2h0ZWQgKDQpL1R5cGUgZ2V3aWp6aWdkLntDb2x1bW4zNCwzM30mcXVvdDssJnF1b3Q7U2VjdGlvbjEvbWFwcGluZ19idWRnZXQtVEJPX3dlaWdodGVkICg0KS9UeXBlIGdld2lqemlnZC57Q29sdW1uMzUsMzR9JnF1b3Q7LCZxdW90O1NlY3Rpb24xL21hcHBpbmdfYnVkZ2V0LVRCT193ZWlnaHRlZCAoNCkvVHlwZSBnZXdpanppZ2Que0NvbHVtbjM2LDM1fSZxdW90OywmcXVvdDtTZWN0aW9uMS9tYXBwaW5nX2J1ZGdldC1UQk9fd2VpZ2h0ZWQgKDQpL1R5cGUgZ2V3aWp6aWdkLntDb2x1bW4zNywzNn0mcXVvdDssJnF1b3Q7U2VjdGlvbjEvbWFwcGluZ19idWRnZXQtVEJPX3dlaWdodGVkICg0KS9UeXBlIGdld2lqemlnZC57Q29sdW1uMzgsMzd9JnF1b3Q7LCZxdW90O1NlY3Rpb24xL21hcHBpbmdfYnVkZ2V0LVRCT193ZWlnaHRlZCAoNCkvVHlwZSBnZXdpanppZ2Que0NvbHVtbjM5LDM4fSZxdW90OywmcXVvdDtTZWN0aW9uMS9tYXBwaW5nX2J1ZGdldC1UQk9fd2VpZ2h0ZWQgKDQpL1R5cGUgZ2V3aWp6aWdkLntDb2x1bW40MCwzOX0mcXVvdDssJnF1b3Q7U2VjdGlvbjEvbWFwcGluZ19idWRnZXQtVEJPX3dlaWdodGVkICg0KS9UeXBlIGdld2lqemlnZC57Q29sdW1uNDEsNDB9JnF1b3Q7LCZxdW90O1NlY3Rpb24xL21hcHBpbmdfYnVkZ2V0LVRCT193ZWlnaHRlZCAoNCkvVHlwZSBnZXdpanppZ2Que0NvbHVtbjQyLDQxfSZxdW90OywmcXVvdDtTZWN0aW9uMS9tYXBwaW5nX2J1ZGdldC1UQk9fd2VpZ2h0ZWQgKDQpL1R5cGUgZ2V3aWp6aWdkLntDb2x1bW40Myw0Mn0mcXVvdDssJnF1b3Q7U2VjdGlvbjEvbWFwcGluZ19idWRnZXQtVEJPX3dlaWdodGVkICg0KS9UeXBlIGdld2lqemlnZC57Q29sdW1uNDQsNDN9JnF1b3Q7LCZxdW90O1NlY3Rpb24xL21hcHBpbmdfYnVkZ2V0LVRCT193ZWlnaHRlZCAoNCkvVHlwZSBnZXdpanppZ2Que0NvbHVtbjQ1LDQ0fSZxdW90OywmcXVvdDtTZWN0aW9uMS9tYXBwaW5nX2J1ZGdldC1UQk9fd2VpZ2h0ZWQgKDQpL1R5cGUgZ2V3aWp6aWdkLntDb2x1bW40Niw0NX0mcXVvdDssJnF1b3Q7U2VjdGlvbjEvbWFwcGluZ19idWRnZXQtVEJPX3dlaWdodGVkICg0KS9UeXBlIGdld2lqemlnZC57Q29sdW1uNDcsNDZ9JnF1b3Q7LCZxdW90O1NlY3Rpb24xL21hcHBpbmdfYnVkZ2V0LVRCT193ZWlnaHRlZCAoNCkvVHlwZSBnZXdpanppZ2Que0NvbHVtbjQ4LDQ3fSZxdW90OywmcXVvdDtTZWN0aW9uMS9tYXBwaW5nX2J1ZGdldC1UQk9fd2VpZ2h0ZWQgKDQpL1R5cGUgZ2V3aWp6aWdkLntDb2x1bW40OSw0OH0mcXVvdDssJnF1b3Q7U2VjdGlvbjEvbWFwcGluZ19idWRnZXQtVEJPX3dlaWdodGVkICg0KS9UeXBlIGdld2lqemlnZC57Q29sdW1uNTAsNDl9JnF1b3Q7LCZxdW90O1NlY3Rpb24xL21hcHBpbmdfYnVkZ2V0LVRCT193ZWlnaHRlZCAoNCkvVHlwZSBnZXdpanppZ2Que0NvbHVtbjUxLDUwfSZxdW90OywmcXVvdDtTZWN0aW9uMS9tYXBwaW5nX2J1ZGdldC1UQk9fd2VpZ2h0ZWQgKDQpL1R5cGUgZ2V3aWp6aWdkLntDb2x1bW41Miw1MX0mcXVvdDssJnF1b3Q7U2VjdGlvbjEvbWFwcGluZ19idWRnZXQtVEJPX3dlaWdodGVkICg0KS9UeXBlIGdld2lqemlnZC57Q29sdW1uNTMsNTJ9JnF1b3Q7LCZxdW90O1NlY3Rpb24xL21hcHBpbmdfYnVkZ2V0LVRCT193ZWlnaHRlZCAoNCkvVHlwZSBnZXdpanppZ2Que0NvbHVtbjU0LDUzfSZxdW90OywmcXVvdDtTZWN0aW9uMS9tYXBwaW5nX2J1ZGdldC1UQk9fd2VpZ2h0ZWQgKDQpL1R5cGUgZ2V3aWp6aWdkLntDb2x1bW41NSw1NH0mcXVvdDssJnF1b3Q7U2VjdGlvbjEvbWFwcGluZ19idWRnZXQtVEJPX3dlaWdodGVkICg0KS9UeXBlIGdld2lqemlnZC57Q29sdW1uNTYsNTV9JnF1b3Q7LCZxdW90O1NlY3Rpb24xL21hcHBpbmdfYnVkZ2V0LVRCT193ZWlnaHRlZCAoNCkvVHlwZSBnZXdpanppZ2Que0NvbHVtbjU3LDU2fSZxdW90OywmcXVvdDtTZWN0aW9uMS9tYXBwaW5nX2J1ZGdldC1UQk9fd2VpZ2h0ZWQgKDQpL1R5cGUgZ2V3aWp6aWdkLntDb2x1bW41OCw1N30mcXVvdDssJnF1b3Q7U2VjdGlvbjEvbWFwcGluZ19idWRnZXQtVEJPX3dlaWdodGVkICg0KS9UeXBlIGdld2lqemlnZC57Q29sdW1uNTksNTh9JnF1b3Q7LCZxdW90O1NlY3Rpb24xL21hcHBpbmdfYnVkZ2V0LVRCT193ZWlnaHRlZCAoNCkvVHlwZSBnZXdpanppZ2Que0NvbHVtbjYwLDU5fSZxdW90OywmcXVvdDtTZWN0aW9uMS9tYXBwaW5nX2J1ZGdldC1UQk9fd2VpZ2h0ZWQgKDQpL1R5cGUgZ2V3aWp6aWdkLntDb2x1bW42MSw2MH0mcXVvdDssJnF1b3Q7U2VjdGlvbjEvbWFwcGluZ19idWRnZXQtVEJPX3dlaWdodGVkICg0KS9UeXBlIGdld2lqemlnZC57Q29sdW1uNjIsNjF9JnF1b3Q7LCZxdW90O1NlY3Rpb24xL21hcHBpbmdfYnVkZ2V0LVRCT193ZWlnaHRlZCAoNCkvVHlwZSBnZXdpanppZ2Que0NvbHVtbjYzLDYyfSZxdW90OywmcXVvdDtTZWN0aW9uMS9tYXBwaW5nX2J1ZGdldC1UQk9fd2VpZ2h0ZWQgKDQpL1R5cGUgZ2V3aWp6aWdkLntDb2x1bW42NCw2M30mcXVvdDssJnF1b3Q7U2VjdGlvbjEvbWFwcGluZ19idWRnZXQtVEJPX3dlaWdodGVkICg0KS9UeXBlIGdld2lqemlnZC57Q29sdW1uNjUsNjR9JnF1b3Q7LCZxdW90O1NlY3Rpb24xL21hcHBpbmdfYnVkZ2V0LVRCT193ZWlnaHRlZCAoNCkvVHlwZSBnZXdpanppZ2Que0NvbHVtbjY2LDY1fSZxdW90OywmcXVvdDtTZWN0aW9uMS9tYXBwaW5nX2J1ZGdldC1UQk9fd2VpZ2h0ZWQgKDQpL1R5cGUgZ2V3aWp6aWdkLntDb2x1bW42Nyw2Nn0mcXVvdDssJnF1b3Q7U2VjdGlvbjEvbWFwcGluZ19idWRnZXQtVEJPX3dlaWdodGVkICg0KS9UeXBlIGdld2lqemlnZC57Q29sdW1uNjgsNjd9JnF1b3Q7LCZxdW90O1NlY3Rpb24xL21hcHBpbmdfYnVkZ2V0LVRCT193ZWlnaHRlZCAoNCkvVHlwZSBnZXdpanppZ2Que0NvbHVtbjY5LDY4fSZxdW90OywmcXVvdDtTZWN0aW9uMS9tYXBwaW5nX2J1ZGdldC1UQk9fd2VpZ2h0ZWQgKDQpL1R5cGUgZ2V3aWp6aWdkLntDb2x1bW43MCw2OX0mcXVvdDssJnF1b3Q7U2VjdGlvbjEvbWFwcGluZ19idWRnZXQtVEJPX3dlaWdodGVkICg0KS9UeXBlIGdld2lqemlnZC57Q29sdW1uNzEsNzB9JnF1b3Q7LCZxdW90O1NlY3Rpb24xL21hcHBpbmdfYnVkZ2V0LVRCT193ZWlnaHRlZCAoNCkvVHlwZSBnZXdpanppZ2Que0NvbHVtbjcyLDcxfSZxdW90OywmcXVvdDtTZWN0aW9uMS9tYXBwaW5nX2J1ZGdldC1UQk9fd2VpZ2h0ZWQgKDQpL1R5cGUgZ2V3aWp6aWdkLntDb2x1bW43Myw3Mn0mcXVvdDssJnF1b3Q7U2VjdGlvbjEvbWFwcGluZ19idWRnZXQtVEJPX3dlaWdodGVkICg0KS9UeXBlIGdld2lqemlnZC57Q29sdW1uNzQsNzN9JnF1b3Q7LCZxdW90O1NlY3Rpb24xL21hcHBpbmdfYnVkZ2V0LVRCT193ZWlnaHRlZCAoNCkvVHlwZSBnZXdpanppZ2Que0NvbHVtbjc1LDc0fSZxdW90OywmcXVvdDtTZWN0aW9uMS9tYXBwaW5nX2J1ZGdldC1UQk9fd2VpZ2h0ZWQgKDQpL1R5cGUgZ2V3aWp6aWdkLntDb2x1bW43Niw3NX0mcXVvdDssJnF1b3Q7U2VjdGlvbjEvbWFwcGluZ19idWRnZXQtVEJPX3dlaWdodGVkICg0KS9UeXBlIGdld2lqemlnZC57Q29sdW1uNzcsNzZ9JnF1b3Q7LCZxdW90O1NlY3Rpb24xL21hcHBpbmdfYnVkZ2V0LVRCT193ZWlnaHRlZCAoNCkvVHlwZSBnZXdpanppZ2Que0NvbHVtbjc4LDc3fSZxdW90OywmcXVvdDtTZWN0aW9uMS9tYXBwaW5nX2J1ZGdldC1UQk9fd2VpZ2h0ZWQgKDQpL1R5cGUgZ2V3aWp6aWdkLntDb2x1bW43OSw3OH0mcXVvdDssJnF1b3Q7U2VjdGlvbjEvbWFwcGluZ19idWRnZXQtVEJPX3dlaWdodGVkICg0KS9UeXBlIGdld2lqemlnZC57Q29sdW1uODAsNzl9JnF1b3Q7LCZxdW90O1NlY3Rpb24xL21hcHBpbmdfYnVkZ2V0LVRCT193ZWlnaHRlZCAoNCkvVHlwZSBnZXdpanppZ2Que0NvbHVtbjgxLDgwfSZxdW90OywmcXVvdDtTZWN0aW9uMS9tYXBwaW5nX2J1ZGdldC1UQk9fd2VpZ2h0ZWQgKDQpL1R5cGUgZ2V3aWp6aWdkLntDb2x1bW44Miw4MX0mcXVvdDssJnF1b3Q7U2VjdGlvbjEvbWFwcGluZ19idWRnZXQtVEJPX3dlaWdodGVkICg0KS9UeXBlIGdld2lqemlnZC57Q29sdW1uODMsODJ9JnF1b3Q7LCZxdW90O1NlY3Rpb24xL21hcHBpbmdfYnVkZ2V0LVRCT193ZWlnaHRlZCAoNCkvVHlwZSBnZXdpanppZ2Que0NvbHVtbjg0LDgzfSZxdW90OywmcXVvdDtTZWN0aW9uMS9tYXBwaW5nX2J1ZGdldC1UQk9fd2VpZ2h0ZWQgKDQpL1R5cGUgZ2V3aWp6aWdkLntDb2x1bW44NSw4NH0mcXVvdDssJnF1b3Q7U2VjdGlvbjEvbWFwcGluZ19idWRnZXQtVEJPX3dlaWdodGVkICg0KS9UeXBlIGdld2lqemlnZC57Q29sdW1uODYsODV9JnF1b3Q7LCZxdW90O1NlY3Rpb24xL21hcHBpbmdfYnVkZ2V0LVRCT193ZWlnaHRlZCAoNCkvVHlwZSBnZXdpanppZ2Que0NvbHVtbjg3LDg2fSZxdW90OywmcXVvdDtTZWN0aW9uMS9tYXBwaW5nX2J1ZGdldC1UQk9fd2VpZ2h0ZWQgKDQpL1R5cGUgZ2V3aWp6aWdkLntDb2x1bW44OCw4N30mcXVvdDssJnF1b3Q7U2VjdGlvbjEvbWFwcGluZ19idWRnZXQtVEJPX3dlaWdodGVkICg0KS9UeXBlIGdld2lqemlnZC57Q29sdW1uODksODh9JnF1b3Q7LCZxdW90O1NlY3Rpb24xL21hcHBpbmdfYnVkZ2V0LVRCT193ZWlnaHRlZCAoNCkvVHlwZSBnZXdpanppZ2Que0NvbHVtbjkwLDg5fSZxdW90OywmcXVvdDtTZWN0aW9uMS9tYXBwaW5nX2J1ZGdldC1UQk9fd2VpZ2h0ZWQgKDQpL1R5cGUgZ2V3aWp6aWdkLntDb2x1bW45MSw5MH0mcXVvdDssJnF1b3Q7U2VjdGlvbjEvbWFwcGluZ19idWRnZXQtVEJPX3dlaWdodGVkICg0KS9UeXBlIGdld2lqemlnZC57Q29sdW1uOTIsOTF9JnF1b3Q7LCZxdW90O1NlY3Rpb24xL21hcHBpbmdfYnVkZ2V0LVRCT193ZWlnaHRlZCAoNCkvVHlwZSBnZXdpanppZ2Que0NvbHVtbjkzLDkyfSZxdW90OywmcXVvdDtTZWN0aW9uMS9tYXBwaW5nX2J1ZGdldC1UQk9fd2VpZ2h0ZWQgKDQpL1R5cGUgZ2V3aWp6aWdkLntDb2x1bW45NCw5M30mcXVvdDssJnF1b3Q7U2VjdGlvbjEvbWFwcGluZ19idWRnZXQtVEJPX3dlaWdodGVkICg0KS9UeXBlIGdld2lqemlnZC57Q29sdW1uOTUsOTR9JnF1b3Q7LCZxdW90O1NlY3Rpb24xL21hcHBpbmdfYnVkZ2V0LVRCT193ZWlnaHRlZCAoNCkvVHlwZSBnZXdpanppZ2Que0NvbHVtbjk2LDk1fSZxdW90OywmcXVvdDtTZWN0aW9uMS9tYXBwaW5nX2J1ZGdldC1UQk9fd2VpZ2h0ZWQgKDQpL1R5cGUgZ2V3aWp6aWdkLntDb2x1bW45Nyw5Nn0mcXVvdDssJnF1b3Q7U2VjdGlvbjEvbWFwcGluZ19idWRnZXQtVEJPX3dlaWdodGVkICg0KS9UeXBlIGdld2lqemlnZC57Q29sdW1uOTgsOTd9JnF1b3Q7LCZxdW90O1NlY3Rpb24xL21hcHBpbmdfYnVkZ2V0LVRCT193ZWlnaHRlZCAoNCkvVHlwZSBnZXdpanppZ2Que0NvbHVtbjk5LDk4fSZxdW90OywmcXVvdDtTZWN0aW9uMS9tYXBwaW5nX2J1ZGdldC1UQk9fd2VpZ2h0ZWQgKDQpL1R5cGUgZ2V3aWp6aWdkLntDb2x1bW4xMDAsOTl9JnF1b3Q7LCZxdW90O1NlY3Rpb24xL21hcHBpbmdfYnVkZ2V0LVRCT193ZWlnaHRlZCAoNCkvVHlwZSBnZXdpanppZ2Que0NvbHVtbjEwMSwxMDB9JnF1b3Q7LCZxdW90O1NlY3Rpb24xL21hcHBpbmdfYnVkZ2V0LVRCT193ZWlnaHRlZCAoNCkvVHlwZSBnZXdpanppZ2Que0NvbHVtbjEwMiwxMDF9JnF1b3Q7LCZxdW90O1NlY3Rpb24xL21hcHBpbmdfYnVkZ2V0LVRCT193ZWlnaHRlZCAoNCkvVHlwZSBnZXdpanppZ2Que0NvbHVtbjEwMywxMDJ9JnF1b3Q7LCZxdW90O1NlY3Rpb24xL21hcHBpbmdfYnVkZ2V0LVRCT193ZWlnaHRlZCAoNCkvVHlwZSBnZXdpanppZ2Que0NvbHVtbjEwNCwxMDN9JnF1b3Q7LCZxdW90O1NlY3Rpb24xL21hcHBpbmdfYnVkZ2V0LVRCT193ZWlnaHRlZCAoNCkvVHlwZSBnZXdpanppZ2Que0NvbHVtbjEwNSwxMDR9JnF1b3Q7LCZxdW90O1NlY3Rpb24xL21hcHBpbmdfYnVkZ2V0LVRCT193ZWlnaHRlZCAoNCkvVHlwZSBnZXdpanppZ2Que0NvbHVtbjEwNiwxMDV9JnF1b3Q7LCZxdW90O1NlY3Rpb24xL21hcHBpbmdfYnVkZ2V0LVRCT193ZWlnaHRlZCAoNCkvVHlwZSBnZXdpanppZ2Que0NvbHVtbjEwNywxMDZ9JnF1b3Q7LCZxdW90O1NlY3Rpb24xL21hcHBpbmdfYnVkZ2V0LVRCT193ZWlnaHRlZCAoNCkvVHlwZSBnZXdpanppZ2Que0NvbHVtbjEwOCwxMDd9JnF1b3Q7LCZxdW90O1NlY3Rpb24xL21hcHBpbmdfYnVkZ2V0LVRCT193ZWlnaHRlZCAoNCkvVHlwZSBnZXdpanppZ2Que0NvbHVtbjEwOSwxMDh9JnF1b3Q7LCZxdW90O1NlY3Rpb24xL21hcHBpbmdfYnVkZ2V0LVRCT193ZWlnaHRlZCAoNCkvVHlwZSBnZXdpanppZ2Que0NvbHVtbjExMCwxMDl9JnF1b3Q7LCZxdW90O1NlY3Rpb24xL21hcHBpbmdfYnVkZ2V0LVRCT193ZWlnaHRlZCAoNCkvVHlwZSBnZXdpanppZ2Que0NvbHVtbjExMSwxMTB9JnF1b3Q7LCZxdW90O1NlY3Rpb24xL21hcHBpbmdfYnVkZ2V0LVRCT193ZWlnaHRlZCAoNCkvVHlwZSBnZXdpanppZ2Que0NvbHVtbjExMiwxMTF9JnF1b3Q7LCZxdW90O1NlY3Rpb24xL21hcHBpbmdfYnVkZ2V0LVRCT193ZWlnaHRlZCAoNCkvVHlwZSBnZXdpanppZ2Que0NvbHVtbjExMywxMTJ9JnF1b3Q7LCZxdW90O1NlY3Rpb24xL21hcHBpbmdfYnVkZ2V0LVRCT193ZWlnaHRlZCAoNCkvVHlwZSBnZXdpanppZ2Que0NvbHVtbjExNCwxMTN9JnF1b3Q7LCZxdW90O1NlY3Rpb24xL21hcHBpbmdfYnVkZ2V0LVRCT193ZWlnaHRlZCAoNCkvVHlwZSBnZXdpanppZ2Que0NvbHVtbjExNSwxMTR9JnF1b3Q7LCZxdW90O1NlY3Rpb24xL21hcHBpbmdfYnVkZ2V0LVRCT193ZWlnaHRlZCAoNCkvVHlwZSBnZXdpanppZ2Que0NvbHVtbjExNiwxMTV9JnF1b3Q7LCZxdW90O1NlY3Rpb24xL21hcHBpbmdfYnVkZ2V0LVRCT193ZWlnaHRlZCAoNCkvVHlwZSBnZXdpanppZ2Que0NvbHVtbjExNywxMTZ9JnF1b3Q7LCZxdW90O1NlY3Rpb24xL21hcHBpbmdfYnVkZ2V0LVRCT193ZWlnaHRlZCAoNCkvVHlwZSBnZXdpanppZ2Que0NvbHVtbjExOCwxMTd9JnF1b3Q7LCZxdW90O1NlY3Rpb24xL21hcHBpbmdfYnVkZ2V0LVRCT193ZWlnaHRlZCAoNCkvVHlwZSBnZXdpanppZ2Que0NvbHVtbjExOSwxMTh9JnF1b3Q7LCZxdW90O1NlY3Rpb24xL21hcHBpbmdfYnVkZ2V0LVRCT193ZWlnaHRlZCAoNCkvVHlwZSBnZXdpanppZ2Que0NvbHVtbjEyMCwxMTl9JnF1b3Q7LCZxdW90O1NlY3Rpb24xL21hcHBpbmdfYnVkZ2V0LVRCT193ZWlnaHRlZCAoNCkvVHlwZSBnZXdpanppZ2Que0NvbHVtbjEyMSwxMjB9JnF1b3Q7LCZxdW90O1NlY3Rpb24xL21hcHBpbmdfYnVkZ2V0LVRCT193ZWlnaHRlZCAoNCkvVHlwZSBnZXdpanppZ2Que0NvbHVtbjEyMiwxMjF9JnF1b3Q7LCZxdW90O1NlY3Rpb24xL21hcHBpbmdfYnVkZ2V0LVRCT193ZWlnaHRlZCAoNCkvVHlwZSBnZXdpanppZ2Que0NvbHVtbjEyMywxMjJ9JnF1b3Q7LCZxdW90O1NlY3Rpb24xL21hcHBpbmdfYnVkZ2V0LVRCT193ZWlnaHRlZCAoNCkvVHlwZSBnZXdpanppZ2Que0NvbHVtbjEyNCwxMjN9JnF1b3Q7LCZxdW90O1NlY3Rpb24xL21hcHBpbmdfYnVkZ2V0LVRCT193ZWlnaHRlZCAoNCkvVHlwZSBnZXdpanppZ2Que0NvbHVtbjEyNSwxMjR9JnF1b3Q7LCZxdW90O1NlY3Rpb24xL21hcHBpbmdfYnVkZ2V0LVRCT193ZWlnaHRlZCAoNCkvVHlwZSBnZXdpanppZ2Que0NvbHVtbjEyNiwxMjV9JnF1b3Q7LCZxdW90O1NlY3Rpb24xL21hcHBpbmdfYnVkZ2V0LVRCT193ZWlnaHRlZCAoNCkvVHlwZSBnZXdpanppZ2Que0NvbHVtbjEyNywxMjZ9JnF1b3Q7LCZxdW90O1NlY3Rpb24xL21hcHBpbmdfYnVkZ2V0LVRCT193ZWlnaHRlZCAoNCkvVHlwZSBnZXdpanppZ2Que0NvbHVtbjEyOCwxMjd9JnF1b3Q7LCZxdW90O1NlY3Rpb24xL21hcHBpbmdfYnVkZ2V0LVRCT193ZWlnaHRlZCAoNCkvVHlwZSBnZXdpanppZ2Que0NvbHVtbjEyOSwxMjh9JnF1b3Q7LCZxdW90O1NlY3Rpb24xL21hcHBpbmdfYnVkZ2V0LVRCT193ZWlnaHRlZCAoNCkvVHlwZSBnZXdpanppZ2Que0NvbHVtbjEzMCwxMjl9JnF1b3Q7LCZxdW90O1NlY3Rpb24xL21hcHBpbmdfYnVkZ2V0LVRCT193ZWlnaHRlZCAoNCkvVHlwZSBnZXdpanppZ2Que0NvbHVtbjEzMSwxMzB9JnF1b3Q7LCZxdW90O1NlY3Rpb24xL21hcHBpbmdfYnVkZ2V0LVRCT193ZWlnaHRlZCAoNCkvVHlwZSBnZXdpanppZ2Que0NvbHVtbjEzMiwxMzF9JnF1b3Q7LCZxdW90O1NlY3Rpb24xL21hcHBpbmdfYnVkZ2V0LVRCT193ZWlnaHRlZCAoNCkvVHlwZSBnZXdpanppZ2Que0NvbHVtbjEzMywxMzJ9JnF1b3Q7LCZxdW90O1NlY3Rpb24xL21hcHBpbmdfYnVkZ2V0LVRCT193ZWlnaHRlZCAoNCkvVHlwZSBnZXdpanppZ2Que0NvbHVtbjEzNCwxMzN9JnF1b3Q7LCZxdW90O1NlY3Rpb24xL21hcHBpbmdfYnVkZ2V0LVRCT193ZWlnaHRlZCAoNCkvVHlwZSBnZXdpanppZ2Que0NvbHVtbjEzNSwxMzR9JnF1b3Q7LCZxdW90O1NlY3Rpb24xL21hcHBpbmdfYnVkZ2V0LVRCT193ZWlnaHRlZCAoNCkvVHlwZSBnZXdpanppZ2Que0NvbHVtbjEzNiwxMzV9JnF1b3Q7LCZxdW90O1NlY3Rpb24xL21hcHBpbmdfYnVkZ2V0LVRCT193ZWlnaHRlZCAoNCkvVHlwZSBnZXdpanppZ2Que0NvbHVtbjEzNywxMzZ9JnF1b3Q7LCZxdW90O1NlY3Rpb24xL21hcHBpbmdfYnVkZ2V0LVRCT193ZWlnaHRlZCAoNCkvVHlwZSBnZXdpanppZ2Que0NvbHVtbjEzOCwxMzd9JnF1b3Q7LCZxdW90O1NlY3Rpb24xL21hcHBpbmdfYnVkZ2V0LVRCT193ZWlnaHRlZCAoNCkvVHlwZSBnZXdpanppZ2Que0NvbHVtbjEzOSwxMzh9JnF1b3Q7LCZxdW90O1NlY3Rpb24xL21hcHBpbmdfYnVkZ2V0LVRCT193ZWlnaHRlZCAoNCkvVHlwZSBnZXdpanppZ2Que0NvbHVtbjE0MCwxMzl9JnF1b3Q7LCZxdW90O1NlY3Rpb24xL21hcHBpbmdfYnVkZ2V0LVRCT193ZWlnaHRlZCAoNCkvVHlwZSBnZXdpanppZ2Que0NvbHVtbjE0MSwxNDB9JnF1b3Q7LCZxdW90O1NlY3Rpb24xL21hcHBpbmdfYnVkZ2V0LVRCT193ZWlnaHRlZCAoNCkvVHlwZSBnZXdpanppZ2Que0NvbHVtbjE0MiwxNDF9JnF1b3Q7LCZxdW90O1NlY3Rpb24xL21hcHBpbmdfYnVkZ2V0LVRCT193ZWlnaHRlZCAoNCkvVHlwZSBnZXdpanppZ2Que0NvbHVtbjE0MywxNDJ9JnF1b3Q7LCZxdW90O1NlY3Rpb24xL21hcHBpbmdfYnVkZ2V0LVRCT193ZWlnaHRlZCAoNCkvVHlwZSBnZXdpanppZ2Que0NvbHVtbjE0NCwxNDN9JnF1b3Q7LCZxdW90O1NlY3Rpb24xL21hcHBpbmdfYnVkZ2V0LVRCT193ZWlnaHRlZCAoNCkvVHlwZSBnZXdpanppZ2Que0NvbHVtbjE0NSwxNDR9JnF1b3Q7LCZxdW90O1NlY3Rpb24xL21hcHBpbmdfYnVkZ2V0LVRCT193ZWlnaHRlZCAoNCkvVHlwZSBnZXdpanppZ2Que0NvbHVtbjE0NiwxNDV9JnF1b3Q7LCZxdW90O1NlY3Rpb24xL21hcHBpbmdfYnVkZ2V0LVRCT193ZWlnaHRlZCAoNCkvVHlwZSBnZXdpanppZ2Que0NvbHVtbjE0NywxNDZ9JnF1b3Q7LCZxdW90O1NlY3Rpb24xL21hcHBpbmdfYnVkZ2V0LVRCT193ZWlnaHRlZCAoNCkvVHlwZSBnZXdpanppZ2Que0NvbHVtbjE0OCwxNDd9JnF1b3Q7LCZxdW90O1NlY3Rpb24xL21hcHBpbmdfYnVkZ2V0LVRCT193ZWlnaHRlZCAoNCkvVHlwZSBnZXdpanppZ2Que0NvbHVtbjE0OSwxNDh9JnF1b3Q7LCZxdW90O1NlY3Rpb24xL21hcHBpbmdfYnVkZ2V0LVRCT193ZWlnaHRlZCAoNCkvVHlwZSBnZXdpanppZ2Que0NvbHVtbjE1MCwxNDl9JnF1b3Q7LCZxdW90O1NlY3Rpb24xL21hcHBpbmdfYnVkZ2V0LVRCT193ZWlnaHRlZCAoNCkvVHlwZSBnZXdpanppZ2Que0NvbHVtbjE1MSwxNTB9JnF1b3Q7LCZxdW90O1NlY3Rpb24xL21hcHBpbmdfYnVkZ2V0LVRCT193ZWlnaHRlZCAoNCkvVHlwZSBnZXdpanppZ2Que0NvbHVtbjE1MiwxNTF9JnF1b3Q7LCZxdW90O1NlY3Rpb24xL21hcHBpbmdfYnVkZ2V0LVRCT193ZWlnaHRlZCAoNCkvVHlwZSBnZXdpanppZ2Que0NvbHVtbjE1MywxNTJ9JnF1b3Q7LCZxdW90O1NlY3Rpb24xL21hcHBpbmdfYnVkZ2V0LVRCT193ZWlnaHRlZCAoNCkvVHlwZSBnZXdpanppZ2Que0NvbHVtbjE1NCwxNTN9JnF1b3Q7LCZxdW90O1NlY3Rpb24xL21hcHBpbmdfYnVkZ2V0LVRCT193ZWlnaHRlZCAoNCkvVHlwZSBnZXdpanppZ2Que0NvbHVtbjE1NSwxNTR9JnF1b3Q7LCZxdW90O1NlY3Rpb24xL21hcHBpbmdfYnVkZ2V0LVRCT193ZWlnaHRlZCAoNCkvVHlwZSBnZXdpanppZ2Que0NvbHVtbjE1NiwxNTV9JnF1b3Q7LCZxdW90O1NlY3Rpb24xL21hcHBpbmdfYnVkZ2V0LVRCT193ZWlnaHRlZCAoNCkvVHlwZSBnZXdpanppZ2Que0NvbHVtbjE1NywxNTZ9JnF1b3Q7LCZxdW90O1NlY3Rpb24xL21hcHBpbmdfYnVkZ2V0LVRCT193ZWlnaHRlZCAoNCkvVHlwZSBnZXdpanppZ2Que0NvbHVtbjE1OCwxNTd9JnF1b3Q7LCZxdW90O1NlY3Rpb24xL21hcHBpbmdfYnVkZ2V0LVRCT193ZWlnaHRlZCAoNCkvVHlwZSBnZXdpanppZ2Que0NvbHVtbjE1OSwxNTh9JnF1b3Q7LCZxdW90O1NlY3Rpb24xL21hcHBpbmdfYnVkZ2V0LVRCT193ZWlnaHRlZCAoNCkvVHlwZSBnZXdpanppZ2Que0NvbHVtbjE2MCwxNTl9JnF1b3Q7LCZxdW90O1NlY3Rpb24xL21hcHBpbmdfYnVkZ2V0LVRCT193ZWlnaHRlZCAoNCkvVHlwZSBnZXdpanppZ2Que0NvbHVtbjE2MSwxNjB9JnF1b3Q7LCZxdW90O1NlY3Rpb24xL21hcHBpbmdfYnVkZ2V0LVRCT193ZWlnaHRlZCAoNCkvVHlwZSBnZXdpanppZ2Que0NvbHVtbjE2MiwxNjF9JnF1b3Q7LCZxdW90O1NlY3Rpb24xL21hcHBpbmdfYnVkZ2V0LVRCT193ZWlnaHRlZCAoNCkvVHlwZSBnZXdpanppZ2Que0NvbHVtbjE2MywxNjJ9JnF1b3Q7LCZxdW90O1NlY3Rpb24xL21hcHBpbmdfYnVkZ2V0LVRCT193ZWlnaHRlZCAoNCkvVHlwZSBnZXdpanppZ2Que0NvbHVtbjE2NCwxNjN9JnF1b3Q7LCZxdW90O1NlY3Rpb24xL21hcHBpbmdfYnVkZ2V0LVRCT193ZWlnaHRlZCAoNCkvVHlwZSBnZXdpanppZ2Que0NvbHVtbjE2NSwxNjR9JnF1b3Q7LCZxdW90O1NlY3Rpb24xL21hcHBpbmdfYnVkZ2V0LVRCT193ZWlnaHRlZCAoNCkvVHlwZSBnZXdpanppZ2Que0NvbHVtbjE2NiwxNjV9JnF1b3Q7LCZxdW90O1NlY3Rpb24xL21hcHBpbmdfYnVkZ2V0LVRCT193ZWlnaHRlZCAoNCkvVHlwZSBnZXdpanppZ2Que0NvbHVtbjE2NywxNjZ9JnF1b3Q7LCZxdW90O1NlY3Rpb24xL21hcHBpbmdfYnVkZ2V0LVRCT193ZWlnaHRlZCAoNCkvVHlwZSBnZXdpanppZ2Que0NvbHVtbjE2OCwxNjd9JnF1b3Q7LCZxdW90O1NlY3Rpb24xL21hcHBpbmdfYnVkZ2V0LVRCT193ZWlnaHRlZCAoNCkvVHlwZSBnZXdpanppZ2Que0NvbHVtbjE2OSwxNjh9JnF1b3Q7LCZxdW90O1NlY3Rpb24xL21hcHBpbmdfYnVkZ2V0LVRCT193ZWlnaHRlZCAoNCkvVHlwZSBnZXdpanppZ2Que0NvbHVtbjE3MCwxNjl9JnF1b3Q7LCZxdW90O1NlY3Rpb24xL21hcHBpbmdfYnVkZ2V0LVRCT193ZWlnaHRlZCAoNCkvVHlwZSBnZXdpanppZ2Que0NvbHVtbjE3MSwxNzB9JnF1b3Q7LCZxdW90O1NlY3Rpb24xL21hcHBpbmdfYnVkZ2V0LVRCT193ZWlnaHRlZCAoNCkvVHlwZSBnZXdpanppZ2Que0NvbHVtbjE3MiwxNzF9JnF1b3Q7LCZxdW90O1NlY3Rpb24xL21hcHBpbmdfYnVkZ2V0LVRCT193ZWlnaHRlZCAoNCkvVHlwZSBnZXdpanppZ2Que0NvbHVtbjE3MywxNzJ9JnF1b3Q7LCZxdW90O1NlY3Rpb24xL21hcHBpbmdfYnVkZ2V0LVRCT193ZWlnaHRlZCAoNCkvVHlwZSBnZXdpanppZ2Que0NvbHVtbjE3NCwxNzN9JnF1b3Q7LCZxdW90O1NlY3Rpb24xL21hcHBpbmdfYnVkZ2V0LVRCT193ZWlnaHRlZCAoNCkvVHlwZSBnZXdpanppZ2Que0NvbHVtbjE3NSwxNzR9JnF1b3Q7LCZxdW90O1NlY3Rpb24xL21hcHBpbmdfYnVkZ2V0LVRCT193ZWlnaHRlZCAoNCkvVHlwZSBnZXdpanppZ2Que0NvbHVtbjE3NiwxNzV9JnF1b3Q7LCZxdW90O1NlY3Rpb24xL21hcHBpbmdfYnVkZ2V0LVRCT193ZWlnaHRlZCAoNCkvVHlwZSBnZXdpanppZ2Que0NvbHVtbjE3NywxNzZ9JnF1b3Q7LCZxdW90O1NlY3Rpb24xL21hcHBpbmdfYnVkZ2V0LVRCT193ZWlnaHRlZCAoNCkvVHlwZSBnZXdpanppZ2Que0NvbHVtbjE3OCwxNzd9JnF1b3Q7LCZxdW90O1NlY3Rpb24xL21hcHBpbmdfYnVkZ2V0LVRCT193ZWlnaHRlZCAoNCkvVHlwZSBnZXdpanppZ2Que0NvbHVtbjE3OSwxNzh9JnF1b3Q7LCZxdW90O1NlY3Rpb24xL21hcHBpbmdfYnVkZ2V0LVRCT193ZWlnaHRlZCAoNCkvVHlwZSBnZXdpanppZ2Que0NvbHVtbjE4MCwxNzl9JnF1b3Q7LCZxdW90O1NlY3Rpb24xL21hcHBpbmdfYnVkZ2V0LVRCT193ZWlnaHRlZCAoNCkvVHlwZSBnZXdpanppZ2Que0NvbHVtbjE4MSwxODB9JnF1b3Q7LCZxdW90O1NlY3Rpb24xL21hcHBpbmdfYnVkZ2V0LVRCT193ZWlnaHRlZCAoNCkvVHlwZSBnZXdpanppZ2Que0NvbHVtbjE4MiwxODF9JnF1b3Q7LCZxdW90O1NlY3Rpb24xL21hcHBpbmdfYnVkZ2V0LVRCT193ZWlnaHRlZCAoNCkvVHlwZSBnZXdpanppZ2Que0NvbHVtbjE4MywxODJ9JnF1b3Q7LCZxdW90O1NlY3Rpb24xL21hcHBpbmdfYnVkZ2V0LVRCT193ZWlnaHRlZCAoNCkvVHlwZSBnZXdpanppZ2Que0NvbHVtbjE4NCwxODN9JnF1b3Q7LCZxdW90O1NlY3Rpb24xL21hcHBpbmdfYnVkZ2V0LVRCT193ZWlnaHRlZCAoNCkvVHlwZSBnZXdpanppZ2Que0NvbHVtbjE4NSwxODR9JnF1b3Q7LCZxdW90O1NlY3Rpb24xL21hcHBpbmdfYnVkZ2V0LVRCT193ZWlnaHRlZCAoNCkvVHlwZSBnZXdpanppZ2Que0NvbHVtbjE4NiwxODV9JnF1b3Q7LCZxdW90O1NlY3Rpb24xL21hcHBpbmdfYnVkZ2V0LVRCT193ZWlnaHRlZCAoNCkvVHlwZSBnZXdpanppZ2Que0NvbHVtbjE4NywxODZ9JnF1b3Q7LCZxdW90O1NlY3Rpb24xL21hcHBpbmdfYnVkZ2V0LVRCT193ZWlnaHRlZCAoNCkvVHlwZSBnZXdpanppZ2Que0NvbHVtbjE4OCwxODd9JnF1b3Q7LCZxdW90O1NlY3Rpb24xL21hcHBpbmdfYnVkZ2V0LVRCT193ZWlnaHRlZCAoNCkvVHlwZSBnZXdpanppZ2Que0NvbHVtbjE4OSwxODh9JnF1b3Q7LCZxdW90O1NlY3Rpb24xL21hcHBpbmdfYnVkZ2V0LVRCT193ZWlnaHRlZCAoNCkvVHlwZSBnZXdpanppZ2Que0NvbHVtbjE5MCwxODl9JnF1b3Q7LCZxdW90O1NlY3Rpb24xL21hcHBpbmdfYnVkZ2V0LVRCT193ZWlnaHRlZCAoNCkvVHlwZSBnZXdpanppZ2Que0NvbHVtbjE5MSwxOTB9JnF1b3Q7LCZxdW90O1NlY3Rpb24xL21hcHBpbmdfYnVkZ2V0LVRCT193ZWlnaHRlZCAoNCkvVHlwZSBnZXdpanppZ2Que0NvbHVtbjE5MiwxOTF9JnF1b3Q7LCZxdW90O1NlY3Rpb24xL21hcHBpbmdfYnVkZ2V0LVRCT193ZWlnaHRlZCAoNCkvVHlwZSBnZXdpanppZ2Que0NvbHVtbjE5MywxOTJ9JnF1b3Q7LCZxdW90O1NlY3Rpb24xL21hcHBpbmdfYnVkZ2V0LVRCT193ZWlnaHRlZCAoNCkvVHlwZSBnZXdpanppZ2Que0NvbHVtbjE5NCwxOTN9JnF1b3Q7LCZxdW90O1NlY3Rpb24xL21hcHBpbmdfYnVkZ2V0LVRCT193ZWlnaHRlZCAoNCkvVHlwZSBnZXdpanppZ2Que0NvbHVtbjE5NSwxOTR9JnF1b3Q7LCZxdW90O1NlY3Rpb24xL21hcHBpbmdfYnVkZ2V0LVRCT193ZWlnaHRlZCAoNCkvVHlwZSBnZXdpanppZ2Que0NvbHVtbjE5NiwxOTV9JnF1b3Q7LCZxdW90O1NlY3Rpb24xL21hcHBpbmdfYnVkZ2V0LVRCT193ZWlnaHRlZCAoNCkvVHlwZSBnZXdpanppZ2Que0NvbHVtbjE5NywxOTZ9JnF1b3Q7LCZxdW90O1NlY3Rpb24xL21hcHBpbmdfYnVkZ2V0LVRCT193ZWlnaHRlZCAoNCkvVHlwZSBnZXdpanppZ2Que0NvbHVtbjE5OCwxOTd9JnF1b3Q7LCZxdW90O1NlY3Rpb24xL21hcHBpbmdfYnVkZ2V0LVRCT193ZWlnaHRlZCAoNCkvVHlwZSBnZXdpanppZ2Que0NvbHVtbjE5OSwxOTh9JnF1b3Q7LCZxdW90O1NlY3Rpb24xL21hcHBpbmdfYnVkZ2V0LVRCT193ZWlnaHRlZCAoNCkvVHlwZSBnZXdpanppZ2Que0NvbHVtbjIwMCwxOTl9JnF1b3Q7LCZxdW90O1NlY3Rpb24xL21hcHBpbmdfYnVkZ2V0LVRCT193ZWlnaHRlZCAoNCkvVHlwZSBnZXdpanppZ2Que0NvbHVtbjIwMSwyMDB9JnF1b3Q7LCZxdW90O1NlY3Rpb24xL21hcHBpbmdfYnVkZ2V0LVRCT193ZWlnaHRlZCAoNCkvVHlwZSBnZXdpanppZ2Que0NvbHVtbjIwMiwyMDF9JnF1b3Q7LCZxdW90O1NlY3Rpb24xL21hcHBpbmdfYnVkZ2V0LVRCT193ZWlnaHRlZCAoNCkvVHlwZSBnZXdpanppZ2Que0NvbHVtbjIwMywyMDJ9JnF1b3Q7LCZxdW90O1NlY3Rpb24xL21hcHBpbmdfYnVkZ2V0LVRCT193ZWlnaHRlZCAoNCkvVHlwZSBnZXdpanppZ2Que0NvbHVtbjIwNCwyMDN9JnF1b3Q7LCZxdW90O1NlY3Rpb24xL21hcHBpbmdfYnVkZ2V0LVRCT193ZWlnaHRlZCAoNCkvVHlwZSBnZXdpanppZ2Que0NvbHVtbjIwNSwyMDR9JnF1b3Q7LCZxdW90O1NlY3Rpb24xL21hcHBpbmdfYnVkZ2V0LVRCT193ZWlnaHRlZCAoNCkvVHlwZSBnZXdpanppZ2Que0NvbHVtbjIwNiwyMDV9JnF1b3Q7LCZxdW90O1NlY3Rpb24xL21hcHBpbmdfYnVkZ2V0LVRCT193ZWlnaHRlZCAoNCkvVHlwZSBnZXdpanppZ2Que0NvbHVtbjIwNywyMDZ9JnF1b3Q7LCZxdW90O1NlY3Rpb24xL21hcHBpbmdfYnVkZ2V0LVRCT193ZWlnaHRlZCAoNCkvVHlwZSBnZXdpanppZ2Que0NvbHVtbjIwOCwyMDd9JnF1b3Q7LCZxdW90O1NlY3Rpb24xL21hcHBpbmdfYnVkZ2V0LVRCT193ZWlnaHRlZCAoNCkvVHlwZSBnZXdpanppZ2Que0NvbHVtbjIwOSwyMDh9JnF1b3Q7LCZxdW90O1NlY3Rpb24xL21hcHBpbmdfYnVkZ2V0LVRCT193ZWlnaHRlZCAoNCkvVHlwZSBnZXdpanppZ2Que0NvbHVtbjIxMCwyMDl9JnF1b3Q7LCZxdW90O1NlY3Rpb24xL21hcHBpbmdfYnVkZ2V0LVRCT193ZWlnaHRlZCAoNCkvVHlwZSBnZXdpanppZ2Que0NvbHVtbjIxMSwyMTB9JnF1b3Q7LCZxdW90O1NlY3Rpb24xL21hcHBpbmdfYnVkZ2V0LVRCT193ZWlnaHRlZCAoNCkvVHlwZSBnZXdpanppZ2Que0NvbHVtbjIxMiwyMTF9JnF1b3Q7LCZxdW90O1NlY3Rpb24xL21hcHBpbmdfYnVkZ2V0LVRCT193ZWlnaHRlZCAoNCkvVHlwZSBnZXdpanppZ2Que0NvbHVtbjIxMywyMTJ9JnF1b3Q7LCZxdW90O1NlY3Rpb24xL21hcHBpbmdfYnVkZ2V0LVRCT193ZWlnaHRlZCAoNCkvVHlwZSBnZXdpanppZ2Que0NvbHVtbjIxNCwyMTN9JnF1b3Q7LCZxdW90O1NlY3Rpb24xL21hcHBpbmdfYnVkZ2V0LVRCT193ZWlnaHRlZCAoNCkvVHlwZSBnZXdpanppZ2Que0NvbHVtbjIxNSwyMTR9JnF1b3Q7LCZxdW90O1NlY3Rpb24xL21hcHBpbmdfYnVkZ2V0LVRCT193ZWlnaHRlZCAoNCkvVHlwZSBnZXdpanppZ2Que0NvbHVtbjIxNiwyMTV9JnF1b3Q7LCZxdW90O1NlY3Rpb24xL21hcHBpbmdfYnVkZ2V0LVRCT193ZWlnaHRlZCAoNCkvVHlwZSBnZXdpanppZ2Que0NvbHVtbjIxNywyMTZ9JnF1b3Q7LCZxdW90O1NlY3Rpb24xL21hcHBpbmdfYnVkZ2V0LVRCT193ZWlnaHRlZCAoNCkvVHlwZSBnZXdpanppZ2Que0NvbHVtbjIxOCwyMTd9JnF1b3Q7LCZxdW90O1NlY3Rpb24xL21hcHBpbmdfYnVkZ2V0LVRCT193ZWlnaHRlZCAoNCkvVHlwZSBnZXdpanppZ2Que0NvbHVtbjIxOSwyMTh9JnF1b3Q7LCZxdW90O1NlY3Rpb24xL21hcHBpbmdfYnVkZ2V0LVRCT193ZWlnaHRlZCAoNCkvVHlwZSBnZXdpanppZ2Que0NvbHVtbjIyMCwyMTl9JnF1b3Q7LCZxdW90O1NlY3Rpb24xL21hcHBpbmdfYnVkZ2V0LVRCT193ZWlnaHRlZCAoNCkvVHlwZSBnZXdpanppZ2Que0NvbHVtbjIyMSwyMjB9JnF1b3Q7LCZxdW90O1NlY3Rpb24xL21hcHBpbmdfYnVkZ2V0LVRCT193ZWlnaHRlZCAoNCkvVHlwZSBnZXdpanppZ2Que0NvbHVtbjIyMiwyMjF9JnF1b3Q7LCZxdW90O1NlY3Rpb24xL21hcHBpbmdfYnVkZ2V0LVRCT193ZWlnaHRlZCAoNCkvVHlwZSBnZXdpanppZ2Que0NvbHVtbjIyMywyMjJ9JnF1b3Q7LCZxdW90O1NlY3Rpb24xL21hcHBpbmdfYnVkZ2V0LVRCT193ZWlnaHRlZCAoNCkvVHlwZSBnZXdpanppZ2Que0NvbHVtbjIyNCwyMjN9JnF1b3Q7LCZxdW90O1NlY3Rpb24xL21hcHBpbmdfYnVkZ2V0LVRCT193ZWlnaHRlZCAoNCkvVHlwZSBnZXdpanppZ2Que0NvbHVtbjIyNSwyMjR9JnF1b3Q7LCZxdW90O1NlY3Rpb24xL21hcHBpbmdfYnVkZ2V0LVRCT193ZWlnaHRlZCAoNCkvVHlwZSBnZXdpanppZ2Que0NvbHVtbjIyNiwyMjV9JnF1b3Q7LCZxdW90O1NlY3Rpb24xL21hcHBpbmdfYnVkZ2V0LVRCT193ZWlnaHRlZCAoNCkvVHlwZSBnZXdpanppZ2Que0NvbHVtbjIyNywyMjZ9JnF1b3Q7LCZxdW90O1NlY3Rpb24xL21hcHBpbmdfYnVkZ2V0LVRCT193ZWlnaHRlZCAoNCkvVHlwZSBnZXdpanppZ2Que0NvbHVtbjIyOCwyMjd9JnF1b3Q7LCZxdW90O1NlY3Rpb24xL21hcHBpbmdfYnVkZ2V0LVRCT193ZWlnaHRlZCAoNCkvVHlwZSBnZXdpanppZ2Que0NvbHVtbjIyOSwyMjh9JnF1b3Q7LCZxdW90O1NlY3Rpb24xL21hcHBpbmdfYnVkZ2V0LVRCT193ZWlnaHRlZCAoNCkvVHlwZSBnZXdpanppZ2Que0NvbHVtbjIzMCwyMjl9JnF1b3Q7LCZxdW90O1NlY3Rpb24xL21hcHBpbmdfYnVkZ2V0LVRCT193ZWlnaHRlZCAoNCkvVHlwZSBnZXdpanppZ2Que0NvbHVtbjIzMSwyMzB9JnF1b3Q7LCZxdW90O1NlY3Rpb24xL21hcHBpbmdfYnVkZ2V0LVRCT193ZWlnaHRlZCAoNCkvVHlwZSBnZXdpanppZ2Que0NvbHVtbjIzMiwyMzF9JnF1b3Q7LCZxdW90O1NlY3Rpb24xL21hcHBpbmdfYnVkZ2V0LVRCT193ZWlnaHRlZCAoNCkvVHlwZSBnZXdpanppZ2Que0NvbHVtbjIzMywyMzJ9JnF1b3Q7LCZxdW90O1NlY3Rpb24xL21hcHBpbmdfYnVkZ2V0LVRCT193ZWlnaHRlZCAoNCkvVHlwZSBnZXdpanppZ2Que0NvbHVtbjIzNCwyMzN9JnF1b3Q7LCZxdW90O1NlY3Rpb24xL21hcHBpbmdfYnVkZ2V0LVRCT193ZWlnaHRlZCAoNCkvVHlwZSBnZXdpanppZ2Que0NvbHVtbjIzNSwyMzR9JnF1b3Q7LCZxdW90O1NlY3Rpb24xL21hcHBpbmdfYnVkZ2V0LVRCT193ZWlnaHRlZCAoNCkvVHlwZSBnZXdpanppZ2Que0NvbHVtbjIzNiwyMzV9JnF1b3Q7LCZxdW90O1NlY3Rpb24xL21hcHBpbmdfYnVkZ2V0LVRCT193ZWlnaHRlZCAoNCkvVHlwZSBnZXdpanppZ2Que0NvbHVtbjIzNywyMzZ9JnF1b3Q7LCZxdW90O1NlY3Rpb24xL21hcHBpbmdfYnVkZ2V0LVRCT193ZWlnaHRlZCAoNCkvVHlwZSBnZXdpanppZ2Que0NvbHVtbjIzOCwyMzd9JnF1b3Q7LCZxdW90O1NlY3Rpb24xL21hcHBpbmdfYnVkZ2V0LVRCT193ZWlnaHRlZCAoNCkvVHlwZSBnZXdpanppZ2Que0NvbHVtbjIzOSwyMzh9JnF1b3Q7LCZxdW90O1NlY3Rpb24xL21hcHBpbmdfYnVkZ2V0LVRCT193ZWlnaHRlZCAoNCkvVHlwZSBnZXdpanppZ2Que0NvbHVtbjI0MCwyMzl9JnF1b3Q7LCZxdW90O1NlY3Rpb24xL21hcHBpbmdfYnVkZ2V0LVRCT193ZWlnaHRlZCAoNCkvVHlwZSBnZXdpanppZ2Que0NvbHVtbjI0MSwyNDB9JnF1b3Q7LCZxdW90O1NlY3Rpb24xL21hcHBpbmdfYnVkZ2V0LVRCT193ZWlnaHRlZCAoNCkvVHlwZSBnZXdpanppZ2Que0NvbHVtbjI0MiwyNDF9JnF1b3Q7LCZxdW90O1NlY3Rpb24xL21hcHBpbmdfYnVkZ2V0LVRCT193ZWlnaHRlZCAoNCkvVHlwZSBnZXdpanppZ2Que0NvbHVtbjI0MywyNDJ9JnF1b3Q7LCZxdW90O1NlY3Rpb24xL21hcHBpbmdfYnVkZ2V0LVRCT193ZWlnaHRlZCAoNCkvVHlwZSBnZXdpanppZ2Que0NvbHVtbjI0NCwyNDN9JnF1b3Q7LCZxdW90O1NlY3Rpb24xL21hcHBpbmdfYnVkZ2V0LVRCT193ZWlnaHRlZCAoNCkvVHlwZSBnZXdpanppZ2Que0NvbHVtbjI0NSwyNDR9JnF1b3Q7LCZxdW90O1NlY3Rpb24xL21hcHBpbmdfYnVkZ2V0LVRCT193ZWlnaHRlZCAoNCkvVHlwZSBnZXdpanppZ2Que0NvbHVtbjI0NiwyNDV9JnF1b3Q7LCZxdW90O1NlY3Rpb24xL21hcHBpbmdfYnVkZ2V0LVRCT193ZWlnaHRlZCAoNCkvVHlwZSBnZXdpanppZ2Que0NvbHVtbjI0NywyNDZ9JnF1b3Q7LCZxdW90O1NlY3Rpb24xL21hcHBpbmdfYnVkZ2V0LVRCT193ZWlnaHRlZCAoNCkvVHlwZSBnZXdpanppZ2Que0NvbHVtbjI0OCwyNDd9JnF1b3Q7LCZxdW90O1NlY3Rpb24xL21hcHBpbmdfYnVkZ2V0LVRCT193ZWlnaHRlZCAoNCkvVHlwZSBnZXdpanppZ2Que0NvbHVtbjI0OSwyNDh9JnF1b3Q7LCZxdW90O1NlY3Rpb24xL21hcHBpbmdfYnVkZ2V0LVRCT193ZWlnaHRlZCAoNCkvVHlwZSBnZXdpanppZ2Que0NvbHVtbjI1MCwyNDl9JnF1b3Q7LCZxdW90O1NlY3Rpb24xL21hcHBpbmdfYnVkZ2V0LVRCT193ZWlnaHRlZCAoNCkvVHlwZSBnZXdpanppZ2Que0NvbHVtbjI1MSwyNTB9JnF1b3Q7LCZxdW90O1NlY3Rpb24xL21hcHBpbmdfYnVkZ2V0LVRCT193ZWlnaHRlZCAoNCkvVHlwZSBnZXdpanppZ2Que0NvbHVtbjI1MiwyNTF9JnF1b3Q7LCZxdW90O1NlY3Rpb24xL21hcHBpbmdfYnVkZ2V0LVRCT193ZWlnaHRlZCAoNCkvVHlwZSBnZXdpanppZ2Que0NvbHVtbjI1MywyNTJ9JnF1b3Q7LCZxdW90O1NlY3Rpb24xL21hcHBpbmdfYnVkZ2V0LVRCT193ZWlnaHRlZCAoNCkvVHlwZSBnZXdpanppZ2Que0NvbHVtbjI1NCwyNTN9JnF1b3Q7LCZxdW90O1NlY3Rpb24xL21hcHBpbmdfYnVkZ2V0LVRCT193ZWlnaHRlZCAoNCkvVHlwZSBnZXdpanppZ2Que0NvbHVtbjI1NSwyNTR9JnF1b3Q7LCZxdW90O1NlY3Rpb24xL21hcHBpbmdfYnVkZ2V0LVRCT193ZWlnaHRlZCAoNCkvVHlwZSBnZXdpanppZ2Que0NvbHVtbjI1NiwyNTV9JnF1b3Q7LCZxdW90O1NlY3Rpb24xL21hcHBpbmdfYnVkZ2V0LVRCT193ZWlnaHRlZCAoNCkvVHlwZSBnZXdpanppZ2Que0NvbHVtbjI1NywyNTZ9JnF1b3Q7LCZxdW90O1NlY3Rpb24xL21hcHBpbmdfYnVkZ2V0LVRCT193ZWlnaHRlZCAoNCkvVHlwZSBnZXdpanppZ2Que0NvbHVtbjI1OCwyNTd9JnF1b3Q7LCZxdW90O1NlY3Rpb24xL21hcHBpbmdfYnVkZ2V0LVRCT193ZWlnaHRlZCAoNCkvVHlwZSBnZXdpanppZ2Que0NvbHVtbjI1OSwyNTh9JnF1b3Q7LCZxdW90O1NlY3Rpb24xL21hcHBpbmdfYnVkZ2V0LVRCT193ZWlnaHRlZCAoNCkvVHlwZSBnZXdpanppZ2Que0NvbHVtbjI2MCwyNTl9JnF1b3Q7LCZxdW90O1NlY3Rpb24xL21hcHBpbmdfYnVkZ2V0LVRCT193ZWlnaHRlZCAoNCkvVHlwZSBnZXdpanppZ2Que0NvbHVtbjI2MSwyNjB9JnF1b3Q7LCZxdW90O1NlY3Rpb24xL21hcHBpbmdfYnVkZ2V0LVRCT193ZWlnaHRlZCAoNCkvVHlwZSBnZXdpanppZ2Que0NvbHVtbjI2MiwyNjF9JnF1b3Q7LCZxdW90O1NlY3Rpb24xL21hcHBpbmdfYnVkZ2V0LVRCT193ZWlnaHRlZCAoNCkvVHlwZSBnZXdpanppZ2Que0NvbHVtbjI2MywyNjJ9JnF1b3Q7LCZxdW90O1NlY3Rpb24xL21hcHBpbmdfYnVkZ2V0LVRCT193ZWlnaHRlZCAoNCkvVHlwZSBnZXdpanppZ2Que0NvbHVtbjI2NCwyNjN9JnF1b3Q7LCZxdW90O1NlY3Rpb24xL21hcHBpbmdfYnVkZ2V0LVRCT193ZWlnaHRlZCAoNCkvVHlwZSBnZXdpanppZ2Que0NvbHVtbjI2NSwyNjR9JnF1b3Q7LCZxdW90O1NlY3Rpb24xL21hcHBpbmdfYnVkZ2V0LVRCT193ZWlnaHRlZCAoNCkvVHlwZSBnZXdpanppZ2Que0NvbHVtbjI2NiwyNjV9JnF1b3Q7LCZxdW90O1NlY3Rpb24xL21hcHBpbmdfYnVkZ2V0LVRCT193ZWlnaHRlZCAoNCkvVHlwZSBnZXdpanppZ2Que0NvbHVtbjI2NywyNjZ9JnF1b3Q7LCZxdW90O1NlY3Rpb24xL21hcHBpbmdfYnVkZ2V0LVRCT193ZWlnaHRlZCAoNCkvVHlwZSBnZXdpanppZ2Que0NvbHVtbjI2OCwyNjd9JnF1b3Q7LCZxdW90O1NlY3Rpb24xL21hcHBpbmdfYnVkZ2V0LVRCT193ZWlnaHRlZCAoNCkvVHlwZSBnZXdpanppZ2Que0NvbHVtbjI2OSwyNjh9JnF1b3Q7LCZxdW90O1NlY3Rpb24xL21hcHBpbmdfYnVkZ2V0LVRCT193ZWlnaHRlZCAoNCkvVHlwZSBnZXdpanppZ2Que0NvbHVtbjI3MCwyNjl9JnF1b3Q7LCZxdW90O1NlY3Rpb24xL21hcHBpbmdfYnVkZ2V0LVRCT193ZWlnaHRlZCAoNCkvVHlwZSBnZXdpanppZ2Que0NvbHVtbjI3MSwyNzB9JnF1b3Q7LCZxdW90O1NlY3Rpb24xL21hcHBpbmdfYnVkZ2V0LVRCT193ZWlnaHRlZCAoNCkvVHlwZSBnZXdpanppZ2Que0NvbHVtbjI3MiwyNzF9JnF1b3Q7LCZxdW90O1NlY3Rpb24xL21hcHBpbmdfYnVkZ2V0LVRCT193ZWlnaHRlZCAoNCkvVHlwZSBnZXdpanppZ2Que0NvbHVtbjI3MywyNzJ9JnF1b3Q7LCZxdW90O1NlY3Rpb24xL21hcHBpbmdfYnVkZ2V0LVRCT193ZWlnaHRlZCAoNCkvVHlwZSBnZXdpanppZ2Que0NvbHVtbjI3NCwyNzN9JnF1b3Q7LCZxdW90O1NlY3Rpb24xL21hcHBpbmdfYnVkZ2V0LVRCT193ZWlnaHRlZCAoNCkvVHlwZSBnZXdpanppZ2Que0NvbHVtbjI3NSwyNzR9JnF1b3Q7LCZxdW90O1NlY3Rpb24xL21hcHBpbmdfYnVkZ2V0LVRCT193ZWlnaHRlZCAoNCkvVHlwZSBnZXdpanppZ2Que0NvbHVtbjI3NiwyNzV9JnF1b3Q7LCZxdW90O1NlY3Rpb24xL21hcHBpbmdfYnVkZ2V0LVRCT193ZWlnaHRlZCAoNCkvVHlwZSBnZXdpanppZ2Que0NvbHVtbjI3NywyNzZ9JnF1b3Q7LCZxdW90O1NlY3Rpb24xL21hcHBpbmdfYnVkZ2V0LVRCT193ZWlnaHRlZCAoNCkvVHlwZSBnZXdpanppZ2Que0NvbHVtbjI3OCwyNzd9JnF1b3Q7LCZxdW90O1NlY3Rpb24xL21hcHBpbmdfYnVkZ2V0LVRCT193ZWlnaHRlZCAoNCkvVHlwZSBnZXdpanppZ2Que0NvbHVtbjI3OSwyNzh9JnF1b3Q7LCZxdW90O1NlY3Rpb24xL21hcHBpbmdfYnVkZ2V0LVRCT193ZWlnaHRlZCAoNCkvVHlwZSBnZXdpanppZ2Que0NvbHVtbjI4MCwyNzl9JnF1b3Q7LCZxdW90O1NlY3Rpb24xL21hcHBpbmdfYnVkZ2V0LVRCT193ZWlnaHRlZCAoNCkvVHlwZSBnZXdpanppZ2Que0NvbHVtbjI4MSwyODB9JnF1b3Q7LCZxdW90O1NlY3Rpb24xL21hcHBpbmdfYnVkZ2V0LVRCT193ZWlnaHRlZCAoNCkvVHlwZSBnZXdpanppZ2Que0NvbHVtbjI4MiwyODF9JnF1b3Q7LCZxdW90O1NlY3Rpb24xL21hcHBpbmdfYnVkZ2V0LVRCT193ZWlnaHRlZCAoNCkvVHlwZSBnZXdpanppZ2Que0NvbHVtbjI4MywyODJ9JnF1b3Q7LCZxdW90O1NlY3Rpb24xL21hcHBpbmdfYnVkZ2V0LVRCT193ZWlnaHRlZCAoNCkvVHlwZSBnZXdpanppZ2Que0NvbHVtbjI4NCwyODN9JnF1b3Q7LCZxdW90O1NlY3Rpb24xL21hcHBpbmdfYnVkZ2V0LVRCT193ZWlnaHRlZCAoNCkvVHlwZSBnZXdpanppZ2Que0NvbHVtbjI4NSwyODR9JnF1b3Q7LCZxdW90O1NlY3Rpb24xL21hcHBpbmdfYnVkZ2V0LVRCT193ZWlnaHRlZCAoNCkvVHlwZSBnZXdpanppZ2Que0NvbHVtbjI4NiwyODV9JnF1b3Q7LCZxdW90O1NlY3Rpb24xL21hcHBpbmdfYnVkZ2V0LVRCT193ZWlnaHRlZCAoNCkvVHlwZSBnZXdpanppZ2Que0NvbHVtbjI4NywyODZ9JnF1b3Q7LCZxdW90O1NlY3Rpb24xL21hcHBpbmdfYnVkZ2V0LVRCT193ZWlnaHRlZCAoNCkvVHlwZSBnZXdpanppZ2Que0NvbHVtbjI4OCwyODd9JnF1b3Q7LCZxdW90O1NlY3Rpb24xL21hcHBpbmdfYnVkZ2V0LVRCT193ZWlnaHRlZCAoNCkvVHlwZSBnZXdpanppZ2Que0NvbHVtbjI4OSwyODh9JnF1b3Q7LCZxdW90O1NlY3Rpb24xL21hcHBpbmdfYnVkZ2V0LVRCT193ZWlnaHRlZCAoNCkvVHlwZSBnZXdpanppZ2Que0NvbHVtbjI5MCwyODl9JnF1b3Q7LCZxdW90O1NlY3Rpb24xL21hcHBpbmdfYnVkZ2V0LVRCT193ZWlnaHRlZCAoNCkvVHlwZSBnZXdpanppZ2Que0NvbHVtbjI5MSwyOTB9JnF1b3Q7LCZxdW90O1NlY3Rpb24xL21hcHBpbmdfYnVkZ2V0LVRCT193ZWlnaHRlZCAoNCkvVHlwZSBnZXdpanppZ2Que0NvbHVtbjI5MiwyOTF9JnF1b3Q7LCZxdW90O1NlY3Rpb24xL21hcHBpbmdfYnVkZ2V0LVRCT193ZWlnaHRlZCAoNCkvVHlwZSBnZXdpanppZ2Que0NvbHVtbjI5MywyOTJ9JnF1b3Q7LCZxdW90O1NlY3Rpb24xL21hcHBpbmdfYnVkZ2V0LVRCT193ZWlnaHRlZCAoNCkvVHlwZSBnZXdpanppZ2Que0NvbHVtbjI5NCwyOTN9JnF1b3Q7LCZxdW90O1NlY3Rpb24xL21hcHBpbmdfYnVkZ2V0LVRCT193ZWlnaHRlZCAoNCkvVHlwZSBnZXdpanppZ2Que0NvbHVtbjI5NSwyOTR9JnF1b3Q7LCZxdW90O1NlY3Rpb24xL21hcHBpbmdfYnVkZ2V0LVRCT193ZWlnaHRlZCAoNCkvVHlwZSBnZXdpanppZ2Que0NvbHVtbjI5NiwyOTV9JnF1b3Q7LCZxdW90O1NlY3Rpb24xL21hcHBpbmdfYnVkZ2V0LVRCT193ZWlnaHRlZCAoNCkvVHlwZSBnZXdpanppZ2Que0NvbHVtbjI5NywyOTZ9JnF1b3Q7LCZxdW90O1NlY3Rpb24xL21hcHBpbmdfYnVkZ2V0LVRCT193ZWlnaHRlZCAoNCkvVHlwZSBnZXdpanppZ2Que0NvbHVtbjI5OCwyOTd9JnF1b3Q7LCZxdW90O1NlY3Rpb24xL21hcHBpbmdfYnVkZ2V0LVRCT193ZWlnaHRlZCAoNCkvVHlwZSBnZXdpanppZ2Que0NvbHVtbjI5OSwyOTh9JnF1b3Q7LCZxdW90O1NlY3Rpb24xL21hcHBpbmdfYnVkZ2V0LVRCT193ZWlnaHRlZCAoNCkvVHlwZSBnZXdpanppZ2Que0NvbHVtbjMwMCwyOTl9JnF1b3Q7LCZxdW90O1NlY3Rpb24xL21hcHBpbmdfYnVkZ2V0LVRCT193ZWlnaHRlZCAoNCkvVHlwZSBnZXdpanppZ2Que0NvbHVtbjMwMSwzMDB9JnF1b3Q7LCZxdW90O1NlY3Rpb24xL21hcHBpbmdfYnVkZ2V0LVRCT193ZWlnaHRlZCAoNCkvVHlwZSBnZXdpanppZ2Que0NvbHVtbjMwMiwzMDF9JnF1b3Q7LCZxdW90O1NlY3Rpb24xL21hcHBpbmdfYnVkZ2V0LVRCT193ZWlnaHRlZCAoNCkvVHlwZSBnZXdpanppZ2Que0NvbHVtbjMwMywzMDJ9JnF1b3Q7LCZxdW90O1NlY3Rpb24xL21hcHBpbmdfYnVkZ2V0LVRCT193ZWlnaHRlZCAoNCkvVHlwZSBnZXdpanppZ2Que0NvbHVtbjMwNCwzMDN9JnF1b3Q7LCZxdW90O1NlY3Rpb24xL21hcHBpbmdfYnVkZ2V0LVRCT193ZWlnaHRlZCAoNCkvVHlwZSBnZXdpanppZ2Que0NvbHVtbjMwNSwzMDR9JnF1b3Q7LCZxdW90O1NlY3Rpb24xL21hcHBpbmdfYnVkZ2V0LVRCT193ZWlnaHRlZCAoNCkvVHlwZSBnZXdpanppZ2Que0NvbHVtbjMwNiwzMDV9JnF1b3Q7LCZxdW90O1NlY3Rpb24xL21hcHBpbmdfYnVkZ2V0LVRCT193ZWlnaHRlZCAoNCkvVHlwZSBnZXdpanppZ2Que0NvbHVtbjMwNywzMDZ9JnF1b3Q7LCZxdW90O1NlY3Rpb24xL21hcHBpbmdfYnVkZ2V0LVRCT193ZWlnaHRlZCAoNCkvVHlwZSBnZXdpanppZ2Que0NvbHVtbjMwOCwzMDd9JnF1b3Q7LCZxdW90O1NlY3Rpb24xL21hcHBpbmdfYnVkZ2V0LVRCT193ZWlnaHRlZCAoNCkvVHlwZSBnZXdpanppZ2Que0NvbHVtbjMwOSwzMDh9JnF1b3Q7LCZxdW90O1NlY3Rpb24xL21hcHBpbmdfYnVkZ2V0LVRCT193ZWlnaHRlZCAoNCkvVHlwZSBnZXdpanppZ2Que0NvbHVtbjMxMCwzMDl9JnF1b3Q7LCZxdW90O1NlY3Rpb24xL21hcHBpbmdfYnVkZ2V0LVRCT193ZWlnaHRlZCAoNCkvVHlwZSBnZXdpanppZ2Que0NvbHVtbjMxMSwzMTB9JnF1b3Q7LCZxdW90O1NlY3Rpb24xL21hcHBpbmdfYnVkZ2V0LVRCT193ZWlnaHRlZCAoNCkvVHlwZSBnZXdpanppZ2Que0NvbHVtbjMxMiwzMTF9JnF1b3Q7LCZxdW90O1NlY3Rpb24xL21hcHBpbmdfYnVkZ2V0LVRCT193ZWlnaHRlZCAoNCkvVHlwZSBnZXdpanppZ2Que0NvbHVtbjMxMywzMTJ9JnF1b3Q7LCZxdW90O1NlY3Rpb24xL21hcHBpbmdfYnVkZ2V0LVRCT193ZWlnaHRlZCAoNCkvVHlwZSBnZXdpanppZ2Que0NvbHVtbjMxNCwzMTN9JnF1b3Q7LCZxdW90O1NlY3Rpb24xL21hcHBpbmdfYnVkZ2V0LVRCT193ZWlnaHRlZCAoNCkvVHlwZSBnZXdpanppZ2Que0NvbHVtbjMxNSwzMTR9JnF1b3Q7LCZxdW90O1NlY3Rpb24xL21hcHBpbmdfYnVkZ2V0LVRCT193ZWlnaHRlZCAoNCkvVHlwZSBnZXdpanppZ2Que0NvbHVtbjMxNiwzMTV9JnF1b3Q7LCZxdW90O1NlY3Rpb24xL21hcHBpbmdfYnVkZ2V0LVRCT193ZWlnaHRlZCAoNCkvVHlwZSBnZXdpanppZ2Que0NvbHVtbjMxNywzMTZ9JnF1b3Q7XSwmcXVvdDtSZWxhdGlvbnNoaXBJbmZvJnF1b3Q7OltdfSIgLz48L1N0YWJsZUVudHJpZXM+PC9JdGVtPjxJdGVtPjxJdGVtTG9jYXRpb24+PEl0ZW1UeXBlPkZvcm11bGE8L0l0ZW1UeXBlPjxJdGVtUGF0aD5TZWN0aW9uMS9tYXBwaW5nX2J1ZGdldC1UQk9fd2VpZ2h0ZWQlMjAoNCkvQnJvbjwvSXRlbVBhdGg+PC9JdGVtTG9jYXRpb24+PFN0YWJsZUVudHJpZXMgLz48L0l0ZW0+PEl0ZW0+PEl0ZW1Mb2NhdGlvbj48SXRlbVR5cGU+Rm9ybXVsYTwvSXRlbVR5cGU+PEl0ZW1QYXRoPlNlY3Rpb24xL21hcHBpbmdfYnVkZ2V0LVRCT193ZWlnaHRlZCUyMCg0KS9UeXBlJTIwZ2V3aWp6aWdkPC9JdGVtUGF0aD48L0l0ZW1Mb2NhdGlvbj48U3RhYmxlRW50cmllcyAvPjwvSXRlbT48SXRlbT48SXRlbUxvY2F0aW9uPjxJdGVtVHlwZT5Gb3JtdWxhPC9JdGVtVHlwZT48SXRlbVBhdGg+U2VjdGlvbjEvbWFwcGluZ19idWRnZXQtVEJPX3JlbGF0aXZlPC9JdGVtUGF0aD48L0l0ZW1Mb2NhdGlvbj48U3RhYmxlRW50cmllcz48RW50cnkgVHlwZT0iSXNQcml2YXRlIiBWYWx1ZT0ibDAiIC8+PEVudHJ5IFR5cGU9Ik5hdmlnYXRpb25TdGVwTmFtZSIgVmFsdWU9InNOYXZpZ2F0aWUiIC8+PEVudHJ5IFR5cGU9IkJ1ZmZlck5leHRSZWZyZXNoIiBWYWx1ZT0ibDEiIC8+PEVudHJ5IFR5cGU9IlJlc3VsdFR5cGUiIFZhbHVlPSJzRXhjZXB0aW9uIiAvPjxFbnRyeSBUeXBlPSJOYW1lVXBkYXRlZEFmdGVyRmlsbCIgVmFsdWU9ImwwIiAvPjxFbnRyeSBUeXBlPSJGaWxsRW5hYmxlZCIgVmFsdWU9ImwxIiAvPjxFbnRyeSBUeXBlPSJGaWxsT2JqZWN0VHlwZSIgVmFsdWU9InNUYWJsZSIgLz48RW50cnkgVHlwZT0iRmlsbFRvRGF0YU1vZGVsRW5hYmxlZCIgVmFsdWU9ImwwIiAvPjxFbnRyeSBUeXBlPSJGaWxsVGFyZ2V0IiBWYWx1ZT0ic21hcHBpbmdfYnVkZ2V0X1RCT19yZWxhdGl2ZSIgLz48RW50cnkgVHlwZT0iRmlsbGVkQ29tcGxldGVSZXN1bHRUb1dvcmtzaGVldCIgVmFsdWU9ImwxIiAvPjxFbnRyeSBUeXBlPSJSZWNvdmVyeVRhcmdldFNoZWV0IiBWYWx1ZT0ic0JsYWQ0IiAvPjxFbnRyeSBUeXBlPSJSZWNvdmVyeVRhcmdldENvbHVtbiIgVmFsdWU9ImwxIiAvPjxFbnRyeSBUeXBlPSJSZWNvdmVyeVRhcmdldFJvdyIgVmFsdWU9ImwxIiAvPjxFbnRyeSBUeXBlPSJBZGRlZFRvRGF0YU1vZGVsIiBWYWx1ZT0ibDAiIC8+PEVudHJ5IFR5cGU9IkZpbGxDb3VudCIgVmFsdWU9ImwxNTYiIC8+PEVudHJ5IFR5cGU9IkZpbGxFcnJvckNvZGUiIFZhbHVlPSJzVW5rbm93biIgLz48RW50cnkgVHlwZT0iRmlsbEVycm9yQ291bnQiIFZhbHVlPSJsMCIgLz48RW50cnkgVHlwZT0iRmlsbExhc3RVcGRhdGVkIiBWYWx1ZT0iZDIwMjQtMDgtMTlUMDk6NDc6NDguNTYzMzA2N1oiIC8+PEVudHJ5IFR5cGU9IkZpbGxDb2x1bW5UeXBlcyIgVmFsdWU9InN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1lHQmdZR0JnWUdCZz09IiAvPjxFbnRyeSBUeXBlPSJGaWxsQ29sdW1uTmFtZXMiIFZhbHVlPSJzWyZxdW90O0NvbHVtbjEmcXVvdDssJnF1b3Q7YWN0aXZpdHlfMTFfMCZxdW90OywmcXVvdDthY3Rpdml0eV8xMV8xMTAmcXVvdDssJnF1b3Q7YWN0aXZpdHlfMTFfMTIwJnF1b3Q7LCZxdW90O2FjdGl2aXR5XzExXzEzMCZxdW90OywmcXVvdDthY3Rpdml0eV8xMV8xOTAmcXVvdDssJnF1b3Q7YWN0aXZpdHlfMTFfMjAwJnF1b3Q7LCZxdW90O2FjdGl2aXR5XzExXzIxMCZxdW90OywmcXVvdDthY3Rpdml0eV8xMV8yMjAmcXVvdDssJnF1b3Q7YWN0aXZpdHlfMTFfMjMwJnF1b3Q7LCZxdW90O2FjdGl2aXR5XzExXzI5MCZxdW90OywmcXVvdDthY3Rpdml0eV8xMV8zMDAmcXVvdDssJnF1b3Q7YWN0aXZpdHlfMTFfMzEwJnF1b3Q7LCZxdW90O2FjdGl2aXR5XzExXzMyMCZxdW90OywmcXVvdDthY3Rpdml0eV8xMV8zMzAmcXVvdDssJnF1b3Q7YWN0aXZpdHlfMTFfMzkwJnF1b3Q7LCZxdW90O2FjdGl2aXR5XzExXzMwMDAmcXVvdDssJnF1b3Q7YWN0aXZpdHlfMTFfMzExMCZxdW90OywmcXVvdDthY3Rpdml0eV8xMV8zMTIwJnF1b3Q7LCZxdW90O2FjdGl2aXR5XzExXzMxMzAmcXVvdDssJnF1b3Q7YWN0aXZpdHlfMTFfMzE0MCZxdW90OywmcXVvdDthY3Rpdml0eV8xMV8zMTkwJnF1b3Q7LCZxdW90O2FjdGl2aXR5XzExXzMyMDAmcXVvdDssJnF1b3Q7YWN0aXZpdHlfMTFfMzIxMCZxdW90OywmcXVvdDthY3Rpdml0eV8xMV8zMjIwJnF1b3Q7LCZxdW90O2FjdGl2aXR5XzExXzMyMzAmcXVvdDssJnF1b3Q7YWN0aXZpdHlfMTFfMzI0MCZxdW90OywmcXVvdDthY3Rpdml0eV8xMV8zMjkwJnF1b3Q7LCZxdW90O2FjdGl2aXR5XzExXzMzMDAmcXVvdDssJnF1b3Q7YWN0aXZpdHlfMTFfMzMxMCZxdW90OywmcXVvdDthY3Rpdml0eV8xMV8zMzIwJnF1b3Q7LCZxdW90O2FjdGl2aXR5XzExXzMzMzAmcXVvdDssJnF1b3Q7YWN0aXZpdHlfMTFfMzM5MCZxdW90OywmcXVvdDthY3Rpdml0eV8xMV8zNDAwJnF1b3Q7LCZxdW90O2FjdGl2aXR5XzExXzM0MTAmcXVvdDssJnF1b3Q7YWN0aXZpdHlfMTFfMzQyMCZxdW90OywmcXVvdDthY3Rpdml0eV8xMV8zNDMwJnF1b3Q7LCZxdW90O2FjdGl2aXR5XzExXzM0NDAmcXVvdDssJnF1b3Q7YWN0aXZpdHlfMTFfMzQ5MCZxdW90OywmcXVvdDthY3Rpdml0eV8xMV8zNTAwJnF1b3Q7LCZxdW90O2FjdGl2aXR5XzExXzM1MTAmcXVvdDssJnF1b3Q7YWN0aXZpdHlfMTFfMzUyMCZxdW90OywmcXVvdDthY3Rpdml0eV8xMV8zNTMwJnF1b3Q7LCZxdW90O2FjdGl2aXR5XzExXzM1NDAmcXVvdDssJnF1b3Q7YWN0aXZpdHlfMTFfMzU5MCZxdW90OywmcXVvdDthY3Rpdml0eV8xMV8zNjAwJnF1b3Q7LCZxdW90O2FjdGl2aXR5XzExXzM2MTAmcXVvdDssJnF1b3Q7YWN0aXZpdHlfMTFfMzYyMCZxdW90OywmcXVvdDthY3Rpdml0eV8xMV8zNjMwJnF1b3Q7LCZxdW90O2FjdGl2aXR5XzExXzM2OTAmcXVvdDssJnF1b3Q7YWN0aXZpdHlfMTFfMzcxMCZxdW90OywmcXVvdDthY3Rpdml0eV8xMV8zODAwJnF1b3Q7LCZxdW90O2FjdGl2aXR5XzExXzM4MTAmcXVvdDssJnF1b3Q7YWN0aXZpdHlfMTFfMzgyMCZxdW90OywmcXVvdDthY3Rpdml0eV8xMV8zODMwJnF1b3Q7LCZxdW90O2FjdGl2aXR5XzExXzM4NDAmcXVvdDssJnF1b3Q7YWN0aXZpdHlfMTFfMzg5MCZxdW90OywmcXVvdDthY3Rpdml0eV8xMV8zOTEwJnF1b3Q7LCZxdW90O2FjdGl2aXR5XzExXzM5MjAmcXVvdDssJnF1b3Q7YWN0aXZpdHlfMTFfMzk5MCZxdW90OywmcXVvdDthY3Rpdml0eV8xMV80MDAwJnF1b3Q7LCZxdW90O2FjdGl2aXR5XzExXzQxMDAmcXVvdDssJnF1b3Q7YWN0aXZpdHlfMTFfNDExMCZxdW90OywmcXVvdDthY3Rpdml0eV8xMV80MTIwJnF1b3Q7LCZxdW90O2FjdGl2aXR5XzExXzQyMTAmcXVvdDssJnF1b3Q7YWN0aXZpdHlfMTFfNDIyMCZxdW90OywmcXVvdDthY3Rpdml0eV8xMV80MjMwJnF1b3Q7LCZxdW90O2FjdGl2aXR5XzExXzQyNDAmcXVvdDssJnF1b3Q7YWN0aXZpdHlfMTFfNDI1MCZxdW90OywmcXVvdDthY3Rpdml0eV8xMV80MjkwJnF1b3Q7LCZxdW90O2FjdGl2aXR5XzExXzQzMDAmcXVvdDssJnF1b3Q7YWN0aXZpdHlfMTFfNDMxMCZxdW90OywmcXVvdDthY3Rpdml0eV8xMV80MzIwJnF1b3Q7LCZxdW90O2FjdGl2aXR5XzExXzQzOTAmcXVvdDssJnF1b3Q7YWN0aXZpdHlfMTFfNTAwMCZxdW90OywmcXVvdDthY3Rpdml0eV8xMV81MTAwJnF1b3Q7LCZxdW90O2FjdGl2aXR5XzExXzUxMTAmcXVvdDssJnF1b3Q7YWN0aXZpdHlfMTFfNTEyMCZxdW90OywmcXVvdDthY3Rpdml0eV8xMV81MTMwJnF1b3Q7LCZxdW90O2FjdGl2aXR5XzExXzUxNDAmcXVvdDssJnF1b3Q7YWN0aXZpdHlfMTFfNTE5MCZxdW90OywmcXVvdDthY3Rpdml0eV8xMV81MjAwJnF1b3Q7LCZxdW90O2FjdGl2aXR5XzExXzUyMTAmcXVvdDssJnF1b3Q7YWN0aXZpdHlfMTFfNTIyMCZxdW90OywmcXVvdDthY3Rpdml0eV8xMV81MjMwJnF1b3Q7LCZxdW90O2FjdGl2aXR5XzExXzUyNDAmcXVvdDssJnF1b3Q7YWN0aXZpdHlfMTFfNTI1MCZxdW90OywmcXVvdDthY3Rpdml0eV8xMV81MjYwJnF1b3Q7LCZxdW90O2FjdGl2aXR5XzExXzUyOTAmcXVvdDssJnF1b3Q7YWN0aXZpdHlfMTFfNTMxMCZxdW90OywmcXVvdDthY3Rpdml0eV8xMV82MDAwJnF1b3Q7LCZxdW90O2FjdGl2aXR5XzExXzYxMDAmcXVvdDssJnF1b3Q7YWN0aXZpdHlfMTFfNjExMCZxdW90OywmcXVvdDthY3Rpdml0eV8xMV82MTIwJnF1b3Q7LCZxdW90O2FjdGl2aXR5XzExXzYxMzAmcXVvdDssJnF1b3Q7YWN0aXZpdHlfMTFfNjE0MCZxdW90OywmcXVvdDthY3Rpdml0eV8xMV82MTUwJnF1b3Q7LCZxdW90O2FjdGl2aXR5XzExXzYxNjAmcXVvdDssJnF1b3Q7YWN0aXZpdHlfMTFfNjE5MCZxdW90OywmcXVvdDthY3Rpdml0eV8xMV82MjAwJnF1b3Q7LCZxdW90O2FjdGl2aXR5XzExXzYyMTAmcXVvdDssJnF1b3Q7YWN0aXZpdHlfMTFfNjIyMCZxdW90OywmcXVvdDthY3Rpdml0eV8xMV82MjkwJnF1b3Q7LCZxdW90O2FjdGl2aXR5XzExXzYzMTAmcXVvdDssJnF1b3Q7YWN0aXZpdHlfMTFfNzAwMCZxdW90OywmcXVvdDthY3Rpdml0eV8xMV83MTAwJnF1b3Q7LCZxdW90O2FjdGl2aXR5XzExXzcxMTAmcXVvdDssJnF1b3Q7YWN0aXZpdHlfMTFfNzEyMCZxdW90OywmcXVvdDthY3Rpdml0eV8xMV83MTMwJnF1b3Q7LCZxdW90O2FjdGl2aXR5XzExXzcxOTAmcXVvdDssJnF1b3Q7YWN0aXZpdHlfMTFfNzIwMCZxdW90OywmcXVvdDthY3Rpdml0eV8xMV83MjEwJnF1b3Q7LCZxdW90O2FjdGl2aXR5XzExXzcyMjAmcXVvdDssJnF1b3Q7YWN0aXZpdHlfMTFfNzIzMCZxdW90OywmcXVvdDthY3Rpdml0eV8xMV83MjUwJnF1b3Q7LCZxdW90O2FjdGl2aXR5XzExXzcyOTAmcXVvdDssJnF1b3Q7YWN0aXZpdHlfMTFfNzMwMCZxdW90OywmcXVvdDthY3Rpdml0eV8xMV83MzEwJnF1b3Q7LCZxdW90O2FjdGl2aXR5XzExXzczMjAmcXVvdDssJnF1b3Q7YWN0aXZpdHlfMTFfNzMzMCZxdW90OywmcXVvdDthY3Rpdml0eV8xMV83MzkwJnF1b3Q7LCZxdW90O2FjdGl2aXR5XzExXzgwMDAmcXVvdDssJnF1b3Q7YWN0aXZpdHlfMTFfODEwMCZxdW90OywmcXVvdDthY3Rpdml0eV8xMV84MTEwJnF1b3Q7LCZxdW90O2FjdGl2aXR5XzExXzgxMjAmcXVvdDssJnF1b3Q7YWN0aXZpdHlfMTFfODE5MCZxdW90OywmcXVvdDthY3Rpdml0eV8xMV84MjEwJnF1b3Q7LCZxdW90O2FjdGl2aXR5XzExXzgyMjAmcXVvdDssJnF1b3Q7YWN0aXZpdHlfMTFfODMwMCZxdW90OywmcXVvdDthY3Rpdml0eV8xMV84MzEwJnF1b3Q7LCZxdW90O2FjdGl2aXR5XzExXzgzMjAmcXVvdDssJnF1b3Q7YWN0aXZpdHlfMTFfOTk1MCZxdW90OywmcXVvdDthY3Rpdml0eV8xMV85OTgwJnF1b3Q7LCZxdW90O2FjdGl2aXR5XzExXzk5OTAmcXVvdDssJnF1b3Q7YWN0aXZpdHlfMTBfMCZxdW90OywmcXVvdDthY3Rpdml0eV8xMF8xMTAmcXVvdDssJnF1b3Q7YWN0aXZpdHlfMTBfMTIwJnF1b3Q7LCZxdW90O2FjdGl2aXR5XzEwXzEzMCZxdW90OywmcXVvdDthY3Rpdml0eV8xMF8xOTAmcXVvdDssJnF1b3Q7YWN0aXZpdHlfMTBfMjAwJnF1b3Q7LCZxdW90O2FjdGl2aXR5XzEwXzIxMCZxdW90OywmcXVvdDthY3Rpdml0eV8xMF8yMjAmcXVvdDssJnF1b3Q7YWN0aXZpdHlfMTBfMjMwJnF1b3Q7LCZxdW90O2FjdGl2aXR5XzEwXzI5MCZxdW90OywmcXVvdDthY3Rpdml0eV8xMF8zMDAmcXVvdDssJnF1b3Q7YWN0aXZpdHlfMTBfMzEwJnF1b3Q7LCZxdW90O2FjdGl2aXR5XzEwXzMyMCZxdW90OywmcXVvdDthY3Rpdml0eV8xMF8zMzAmcXVvdDssJnF1b3Q7YWN0aXZpdHlfMTBfMzkwJnF1b3Q7LCZxdW90O2FjdGl2aXR5XzEwXzMwMDAmcXVvdDssJnF1b3Q7YWN0aXZpdHlfMTBfMzExMCZxdW90OywmcXVvdDthY3Rpdml0eV8xMF8zMTIwJnF1b3Q7LCZxdW90O2FjdGl2aXR5XzEwXzMxMzAmcXVvdDssJnF1b3Q7YWN0aXZpdHlfMTBfMzE0MCZxdW90OywmcXVvdDthY3Rpdml0eV8xMF8zMTkwJnF1b3Q7LCZxdW90O2FjdGl2aXR5XzEwXzMyMDAmcXVvdDssJnF1b3Q7YWN0aXZpdHlfMTBfMzIxMCZxdW90OywmcXVvdDthY3Rpdml0eV8xMF8zMjIwJnF1b3Q7LCZxdW90O2FjdGl2aXR5XzEwXzMyMzAmcXVvdDssJnF1b3Q7YWN0aXZpdHlfMTBfMzI0MCZxdW90OywmcXVvdDthY3Rpdml0eV8xMF8zMjkwJnF1b3Q7LCZxdW90O2FjdGl2aXR5XzEwXzMzMDAmcXVvdDssJnF1b3Q7YWN0aXZpdHlfMTBfMzMxMCZxdW90OywmcXVvdDthY3Rpdml0eV8xMF8zMzIwJnF1b3Q7LCZxdW90O2FjdGl2aXR5XzEwXzMzMzAmcXVvdDssJnF1b3Q7YWN0aXZpdHlfMTBfMzM5MCZxdW90OywmcXVvdDthY3Rpdml0eV8xMF8zNDAwJnF1b3Q7LCZxdW90O2FjdGl2aXR5XzEwXzM0MTAmcXVvdDssJnF1b3Q7YWN0aXZpdHlfMTBfMzQyMCZxdW90OywmcXVvdDthY3Rpdml0eV8xMF8zNDMwJnF1b3Q7LCZxdW90O2FjdGl2aXR5XzEwXzM0NDAmcXVvdDssJnF1b3Q7YWN0aXZpdHlfMTBfMzQ5MCZxdW90OywmcXVvdDthY3Rpdml0eV8xMF8zNTAwJnF1b3Q7LCZxdW90O2FjdGl2aXR5XzEwXzM1MTAmcXVvdDssJnF1b3Q7YWN0aXZpdHlfMTBfMzUyMCZxdW90OywmcXVvdDthY3Rpdml0eV8xMF8zNTMwJnF1b3Q7LCZxdW90O2FjdGl2aXR5XzEwXzM1NDAmcXVvdDssJnF1b3Q7YWN0aXZpdHlfMTBfMzU5MCZxdW90OywmcXVvdDthY3Rpdml0eV8xMF8zNjAwJnF1b3Q7LCZxdW90O2FjdGl2aXR5XzEwXzM2MTAmcXVvdDssJnF1b3Q7YWN0aXZpdHlfMTBfMzYyMCZxdW90OywmcXVvdDthY3Rpdml0eV8xMF8zNjMwJnF1b3Q7LCZxdW90O2FjdGl2aXR5XzEwXzM2OTAmcXVvdDssJnF1b3Q7YWN0aXZpdHlfMTBfMzcxMCZxdW90OywmcXVvdDthY3Rpdml0eV8xMF8zODAwJnF1b3Q7LCZxdW90O2FjdGl2aXR5XzEwXzM4MTAmcXVvdDssJnF1b3Q7YWN0aXZpdHlfMTBfMzgyMCZxdW90OywmcXVvdDthY3Rpdml0eV8xMF8zODMwJnF1b3Q7LCZxdW90O2FjdGl2aXR5XzEwXzM4NDAmcXVvdDssJnF1b3Q7YWN0aXZpdHlfMTBfMzg5MCZxdW90OywmcXVvdDthY3Rpdml0eV8xMF8zOTEwJnF1b3Q7LCZxdW90O2FjdGl2aXR5XzEwXzM5MjAmcXVvdDssJnF1b3Q7YWN0aXZpdHlfMTBfMzk5MCZxdW90OywmcXVvdDthY3Rpdml0eV8xMF80MDAwJnF1b3Q7LCZxdW90O2FjdGl2aXR5XzEwXzQxMDAmcXVvdDssJnF1b3Q7YWN0aXZpdHlfMTBfNDExMCZxdW90OywmcXVvdDthY3Rpdml0eV8xMF80MTIwJnF1b3Q7LCZxdW90O2FjdGl2aXR5XzEwXzQyMTAmcXVvdDssJnF1b3Q7YWN0aXZpdHlfMTBfNDIyMCZxdW90OywmcXVvdDthY3Rpdml0eV8xMF80MjMwJnF1b3Q7LCZxdW90O2FjdGl2aXR5XzEwXzQyNDAmcXVvdDssJnF1b3Q7YWN0aXZpdHlfMTBfNDI1MCZxdW90OywmcXVvdDthY3Rpdml0eV8xMF80MjkwJnF1b3Q7LCZxdW90O2FjdGl2aXR5XzEwXzQzMDAmcXVvdDssJnF1b3Q7YWN0aXZpdHlfMTBfNDMxMCZxdW90OywmcXVvdDthY3Rpdml0eV8xMF80MzIwJnF1b3Q7LCZxdW90O2FjdGl2aXR5XzEwXzQzOTAmcXVvdDssJnF1b3Q7YWN0aXZpdHlfMTBfNTAwMCZxdW90OywmcXVvdDthY3Rpdml0eV8xMF81MTAwJnF1b3Q7LCZxdW90O2FjdGl2aXR5XzEwXzUxMTAmcXVvdDssJnF1b3Q7YWN0aXZpdHlfMTBfNTEyMCZxdW90OywmcXVvdDthY3Rpdml0eV8xMF81MTMwJnF1b3Q7LCZxdW90O2FjdGl2aXR5XzEwXzUxNDAmcXVvdDssJnF1b3Q7YWN0aXZpdHlfMTBfNTE5MCZxdW90OywmcXVvdDthY3Rpdml0eV8xMF81MjAwJnF1b3Q7LCZxdW90O2FjdGl2aXR5XzEwXzUyMTAmcXVvdDssJnF1b3Q7YWN0aXZpdHlfMTBfNTIyMCZxdW90OywmcXVvdDthY3Rpdml0eV8xMF81MjMwJnF1b3Q7LCZxdW90O2FjdGl2aXR5XzEwXzUyNDAmcXVvdDssJnF1b3Q7YWN0aXZpdHlfMTBfNTI1MCZxdW90OywmcXVvdDthY3Rpdml0eV8xMF81MjYwJnF1b3Q7LCZxdW90O2FjdGl2aXR5XzEwXzUyOTAmcXVvdDssJnF1b3Q7YWN0aXZpdHlfMTBfNTMxMCZxdW90OywmcXVvdDthY3Rpdml0eV8xMF82MDAwJnF1b3Q7LCZxdW90O2FjdGl2aXR5XzEwXzYxMDAmcXVvdDssJnF1b3Q7YWN0aXZpdHlfMTBfNjExMCZxdW90OywmcXVvdDthY3Rpdml0eV8xMF82MTIwJnF1b3Q7LCZxdW90O2FjdGl2aXR5XzEwXzYxMzAmcXVvdDssJnF1b3Q7YWN0aXZpdHlfMTBfNjE0MCZxdW90OywmcXVvdDthY3Rpdml0eV8xMF82MTUwJnF1b3Q7LCZxdW90O2FjdGl2aXR5XzEwXzYxNjAmcXVvdDssJnF1b3Q7YWN0aXZpdHlfMTBfNjE5MCZxdW90OywmcXVvdDthY3Rpdml0eV8xMF82MjAwJnF1b3Q7LCZxdW90O2FjdGl2aXR5XzEwXzYyMTAmcXVvdDssJnF1b3Q7YWN0aXZpdHlfMTBfNjIyMCZxdW90OywmcXVvdDthY3Rpdml0eV8xMF82MjkwJnF1b3Q7LCZxdW90O2FjdGl2aXR5XzEwXzYzMTAmcXVvdDssJnF1b3Q7YWN0aXZpdHlfMTBfNzAwMCZxdW90OywmcXVvdDthY3Rpdml0eV8xMF83MTAwJnF1b3Q7LCZxdW90O2FjdGl2aXR5XzEwXzcxMTAmcXVvdDssJnF1b3Q7YWN0aXZpdHlfMTBfNzEyMCZxdW90OywmcXVvdDthY3Rpdml0eV8xMF83MTMwJnF1b3Q7LCZxdW90O2FjdGl2aXR5XzEwXzcxOTAmcXVvdDssJnF1b3Q7YWN0aXZpdHlfMTBfNzIwMCZxdW90OywmcXVvdDthY3Rpdml0eV8xMF83MjEwJnF1b3Q7LCZxdW90O2FjdGl2aXR5XzEwXzcyMjAmcXVvdDssJnF1b3Q7YWN0aXZpdHlfMTBfNzIzMCZxdW90OywmcXVvdDthY3Rpdml0eV8xMF83MjUwJnF1b3Q7LCZxdW90O2FjdGl2aXR5XzEwXzcyOTAmcXVvdDssJnF1b3Q7YWN0aXZpdHlfMTBfNzMwMCZxdW90OywmcXVvdDthY3Rpdml0eV8xMF83MzEwJnF1b3Q7LCZxdW90O2FjdGl2aXR5XzEwXzczMjAmcXVvdDssJnF1b3Q7YWN0aXZpdHlfMTBfNzMzMCZxdW90OywmcXVvdDthY3Rpdml0eV8xMF83MzkwJnF1b3Q7LCZxdW90O2FjdGl2aXR5XzEwXzgwMDAmcXVvdDssJnF1b3Q7YWN0aXZpdHlfMTBfODEwMCZxdW90OywmcXVvdDthY3Rpdml0eV8xMF84MTEwJnF1b3Q7LCZxdW90O2FjdGl2aXR5XzEwXzgxMjAmcXVvdDssJnF1b3Q7YWN0aXZpdHlfMTBfODE5MCZxdW90OywmcXVvdDthY3Rpdml0eV8xMF84MjEwJnF1b3Q7LCZxdW90O2FjdGl2aXR5XzEwXzgyMjAmcXVvdDssJnF1b3Q7YWN0aXZpdHlfMTBfODMwMCZxdW90OywmcXVvdDthY3Rpdml0eV8xMF84MzEwJnF1b3Q7LCZxdW90O2FjdGl2aXR5XzEwXzgzMjAmcXVvdDssJnF1b3Q7YWN0aXZpdHlfMTBfOTk1MCZxdW90OywmcXVvdDthY3Rpdml0eV8xMF85OTgwJnF1b3Q7LCZxdW90O2FjdGl2aXR5XzEwXzk5OTAmcXVvdDssJnF1b3Q7YWN0aXZpdHlfMjBfOTAwMCZxdW90OywmcXVvdDthY3Rpdml0eV8yMV85MDAwJnF1b3Q7LCZxdW90O2FjdGl2aXR5XzIyXzkwMDAmcXVvdDssJnF1b3Q7YWN0aXZpdHlfMjNfOTAwMCZxdW90OywmcXVvdDthY3Rpdml0eV8yNF85MDAwJnF1b3Q7LCZxdW90O2FjdGl2aXR5XzI1XzkwMDAmcXVvdDssJnF1b3Q7YWN0aXZpdHlfMjZfOTAwMCZxdW90OywmcXVvdDthY3Rpdml0eV8yMF85MzYwJnF1b3Q7LCZxdW90O2FjdGl2aXR5XzIxXzkzNjAmcXVvdDssJnF1b3Q7YWN0aXZpdHlfMjJfOTM2MCZxdW90OywmcXVvdDthY3Rpdml0eV8yM185MzYwJnF1b3Q7LCZxdW90O2FjdGl2aXR5XzI0XzkzNjAmcXVvdDssJnF1b3Q7YWN0aXZpdHlfMjVfOTM2MCZxdW90OywmcXVvdDthY3Rpdml0eV8yNl85MzYwJnF1b3Q7LCZxdW90O2FjdGl2aXR5XzIwXzkzODAmcXVvdDssJnF1b3Q7YWN0aXZpdHlfMjFfOTM4MCZxdW90OywmcXVvdDthY3Rpdml0eV8yMl85MzgwJnF1b3Q7LCZxdW90O2FjdGl2aXR5XzIzXzkzODAmcXVvdDssJnF1b3Q7YWN0aXZpdHlfMjRfOTM4MCZxdW90OywmcXVvdDthY3Rpdml0eV8yNV85MzgwJnF1b3Q7LCZxdW90O2FjdGl2aXR5XzI2XzkzODAmcXVvdDssJnF1b3Q7YWN0aXZpdHlfMjBfOTQwMCZxdW90OywmcXVvdDthY3Rpdml0eV8yMV85NDAwJnF1b3Q7LCZxdW90O2FjdGl2aXR5XzIyXzk0MDAmcXVvdDssJnF1b3Q7YWN0aXZpdHlfMjNfOTQwMCZxdW90OywmcXVvdDthY3Rpdml0eV8yNF85NDAwJnF1b3Q7LCZxdW90O2FjdGl2aXR5XzI1Xzk0MDAmcXVvdDssJnF1b3Q7YWN0aXZpdHlfMjZfOTQwMCZxdW90OywmcXVvdDthY3Rpdml0eV8yMF85NTAwJnF1b3Q7LCZxdW90O2FjdGl2aXR5XzIxXzk1MDAmcXVvdDssJnF1b3Q7YWN0aXZpdHlfMjJfOTUwMCZxdW90OywmcXVvdDthY3Rpdml0eV8yM185NTAwJnF1b3Q7LCZxdW90O2FjdGl2aXR5XzI0Xzk1MDAmcXVvdDssJnF1b3Q7YWN0aXZpdHlfMjVfOTUwMCZxdW90OywmcXVvdDthY3Rpdml0eV8yNl85NTAwJnF1b3Q7LCZxdW90O2FjdGl2aXR5XzIwXzk2MDAmcXVvdDssJnF1b3Q7YWN0aXZpdHlfMjFfOTYwMCZxdW90OywmcXVvdDthY3Rpdml0eV8yMl85NjAwJnF1b3Q7LCZxdW90O2FjdGl2aXR5XzIzXzk2MDAmcXVvdDssJnF1b3Q7YWN0aXZpdHlfMjRfOTYwMCZxdW90OywmcXVvdDthY3Rpdml0eV8yNV85NjAwJnF1b3Q7LCZxdW90O2FjdGl2aXR5XzI2Xzk2MDAmcXVvdDssJnF1b3Q7YWN0aXZpdHlfMjBfOTgwMCZxdW90OywmcXVvdDthY3Rpdml0eV8yMV85ODAwJnF1b3Q7LCZxdW90O2FjdGl2aXR5XzIyXzk4MDAmcXVvdDssJnF1b3Q7YWN0aXZpdHlfMjNfOTgwMCZxdW90OywmcXVvdDthY3Rpdml0eV8yNF85ODAwJnF1b3Q7LCZxdW90O2FjdGl2aXR5XzI1Xzk4MDAmcXVvdDssJnF1b3Q7YWN0aXZpdHlfMjZfOTgwMCZxdW90O10iIC8+PEVudHJ5IFR5cGU9IkZpbGxTdGF0dXMiIFZhbHVlPSJzQ29tcGxldGUiIC8+PEVudHJ5IFR5cGU9IlJlbGF0aW9uc2hpcEluZm9Db250YWluZXIiIFZhbHVlPSJzeyZxdW90O2NvbHVtbkNvdW50JnF1b3Q7OjMxNiwmcXVvdDtrZXlDb2x1bW5OYW1lcyZxdW90OzpbXSwmcXVvdDtxdWVyeVJlbGF0aW9uc2hpcHMmcXVvdDs6W10sJnF1b3Q7Y29sdW1uSWRlbnRpdGllcyZxdW90OzpbJnF1b3Q7U2VjdGlvbjEvbWFwcGluZ19idWRnZXQtVEJPX3JlbGF0aXZlL1R5cGUgZ2V3aWp6aWdkLntDb2x1bW4xLDB9JnF1b3Q7LCZxdW90O1NlY3Rpb24xL21hcHBpbmdfYnVkZ2V0LVRCT19yZWxhdGl2ZS9UeXBlIGdld2lqemlnZC57Q29sdW1uMiwxfSZxdW90OywmcXVvdDtTZWN0aW9uMS9tYXBwaW5nX2J1ZGdldC1UQk9fcmVsYXRpdmUvVHlwZSBnZXdpanppZ2Que0NvbHVtbjMsMn0mcXVvdDssJnF1b3Q7U2VjdGlvbjEvbWFwcGluZ19idWRnZXQtVEJPX3JlbGF0aXZlL1R5cGUgZ2V3aWp6aWdkLntDb2x1bW40LDN9JnF1b3Q7LCZxdW90O1NlY3Rpb24xL21hcHBpbmdfYnVkZ2V0LVRCT19yZWxhdGl2ZS9UeXBlIGdld2lqemlnZC57Q29sdW1uNSw0fSZxdW90OywmcXVvdDtTZWN0aW9uMS9tYXBwaW5nX2J1ZGdldC1UQk9fcmVsYXRpdmUvVHlwZSBnZXdpanppZ2Que0NvbHVtbjYsNX0mcXVvdDssJnF1b3Q7U2VjdGlvbjEvbWFwcGluZ19idWRnZXQtVEJPX3JlbGF0aXZlL1R5cGUgZ2V3aWp6aWdkLntDb2x1bW43LDZ9JnF1b3Q7LCZxdW90O1NlY3Rpb24xL21hcHBpbmdfYnVkZ2V0LVRCT19yZWxhdGl2ZS9UeXBlIGdld2lqemlnZC57Q29sdW1uOCw3fSZxdW90OywmcXVvdDtTZWN0aW9uMS9tYXBwaW5nX2J1ZGdldC1UQk9fcmVsYXRpdmUvVHlwZSBnZXdpanppZ2Que0NvbHVtbjksOH0mcXVvdDssJnF1b3Q7U2VjdGlvbjEvbWFwcGluZ19idWRnZXQtVEJPX3JlbGF0aXZlL1R5cGUgZ2V3aWp6aWdkLntDb2x1bW4xMCw5fSZxdW90OywmcXVvdDtTZWN0aW9uMS9tYXBwaW5nX2J1ZGdldC1UQk9fcmVsYXRpdmUvVHlwZSBnZXdpanppZ2Que0NvbHVtbjExLDEwfSZxdW90OywmcXVvdDtTZWN0aW9uMS9tYXBwaW5nX2J1ZGdldC1UQk9fcmVsYXRpdmUvVHlwZSBnZXdpanppZ2Que0NvbHVtbjEyLDExfSZxdW90OywmcXVvdDtTZWN0aW9uMS9tYXBwaW5nX2J1ZGdldC1UQk9fcmVsYXRpdmUvVHlwZSBnZXdpanppZ2Que0NvbHVtbjEzLDEyfSZxdW90OywmcXVvdDtTZWN0aW9uMS9tYXBwaW5nX2J1ZGdldC1UQk9fcmVsYXRpdmUvVHlwZSBnZXdpanppZ2Que0NvbHVtbjE0LDEzfSZxdW90OywmcXVvdDtTZWN0aW9uMS9tYXBwaW5nX2J1ZGdldC1UQk9fcmVsYXRpdmUvVHlwZSBnZXdpanppZ2Que0NvbHVtbjE1LDE0fSZxdW90OywmcXVvdDtTZWN0aW9uMS9tYXBwaW5nX2J1ZGdldC1UQk9fcmVsYXRpdmUvVHlwZSBnZXdpanppZ2Que0NvbHVtbjE2LDE1fSZxdW90OywmcXVvdDtTZWN0aW9uMS9tYXBwaW5nX2J1ZGdldC1UQk9fcmVsYXRpdmUvVHlwZSBnZXdpanppZ2Que0NvbHVtbjE3LDE2fSZxdW90OywmcXVvdDtTZWN0aW9uMS9tYXBwaW5nX2J1ZGdldC1UQk9fcmVsYXRpdmUvVHlwZSBnZXdpanppZ2Que0NvbHVtbjE4LDE3fSZxdW90OywmcXVvdDtTZWN0aW9uMS9tYXBwaW5nX2J1ZGdldC1UQk9fcmVsYXRpdmUvVHlwZSBnZXdpanppZ2Que0NvbHVtbjE5LDE4fSZxdW90OywmcXVvdDtTZWN0aW9uMS9tYXBwaW5nX2J1ZGdldC1UQk9fcmVsYXRpdmUvVHlwZSBnZXdpanppZ2Que0NvbHVtbjIwLDE5fSZxdW90OywmcXVvdDtTZWN0aW9uMS9tYXBwaW5nX2J1ZGdldC1UQk9fcmVsYXRpdmUvVHlwZSBnZXdpanppZ2Que0NvbHVtbjIxLDIwfSZxdW90OywmcXVvdDtTZWN0aW9uMS9tYXBwaW5nX2J1ZGdldC1UQk9fcmVsYXRpdmUvVHlwZSBnZXdpanppZ2Que0NvbHVtbjIyLDIxfSZxdW90OywmcXVvdDtTZWN0aW9uMS9tYXBwaW5nX2J1ZGdldC1UQk9fcmVsYXRpdmUvVHlwZSBnZXdpanppZ2Que0NvbHVtbjIzLDIyfSZxdW90OywmcXVvdDtTZWN0aW9uMS9tYXBwaW5nX2J1ZGdldC1UQk9fcmVsYXRpdmUvVHlwZSBnZXdpanppZ2Que0NvbHVtbjI0LDIzfSZxdW90OywmcXVvdDtTZWN0aW9uMS9tYXBwaW5nX2J1ZGdldC1UQk9fcmVsYXRpdmUvVHlwZSBnZXdpanppZ2Que0NvbHVtbjI1LDI0fSZxdW90OywmcXVvdDtTZWN0aW9uMS9tYXBwaW5nX2J1ZGdldC1UQk9fcmVsYXRpdmUvVHlwZSBnZXdpanppZ2Que0NvbHVtbjI2LDI1fSZxdW90OywmcXVvdDtTZWN0aW9uMS9tYXBwaW5nX2J1ZGdldC1UQk9fcmVsYXRpdmUvVHlwZSBnZXdpanppZ2Que0NvbHVtbjI3LDI2fSZxdW90OywmcXVvdDtTZWN0aW9uMS9tYXBwaW5nX2J1ZGdldC1UQk9fcmVsYXRpdmUvVHlwZSBnZXdpanppZ2Que0NvbHVtbjI4LDI3fSZxdW90OywmcXVvdDtTZWN0aW9uMS9tYXBwaW5nX2J1ZGdldC1UQk9fcmVsYXRpdmUvVHlwZSBnZXdpanppZ2Que0NvbHVtbjI5LDI4fSZxdW90OywmcXVvdDtTZWN0aW9uMS9tYXBwaW5nX2J1ZGdldC1UQk9fcmVsYXRpdmUvVHlwZSBnZXdpanppZ2Que0NvbHVtbjMwLDI5fSZxdW90OywmcXVvdDtTZWN0aW9uMS9tYXBwaW5nX2J1ZGdldC1UQk9fcmVsYXRpdmUvVHlwZSBnZXdpanppZ2Que0NvbHVtbjMxLDMwfSZxdW90OywmcXVvdDtTZWN0aW9uMS9tYXBwaW5nX2J1ZGdldC1UQk9fcmVsYXRpdmUvVHlwZSBnZXdpanppZ2Que0NvbHVtbjMyLDMxfSZxdW90OywmcXVvdDtTZWN0aW9uMS9tYXBwaW5nX2J1ZGdldC1UQk9fcmVsYXRpdmUvVHlwZSBnZXdpanppZ2Que0NvbHVtbjMzLDMyfSZxdW90OywmcXVvdDtTZWN0aW9uMS9tYXBwaW5nX2J1ZGdldC1UQk9fcmVsYXRpdmUvVHlwZSBnZXdpanppZ2Que0NvbHVtbjM0LDMzfSZxdW90OywmcXVvdDtTZWN0aW9uMS9tYXBwaW5nX2J1ZGdldC1UQk9fcmVsYXRpdmUvVHlwZSBnZXdpanppZ2Que0NvbHVtbjM1LDM0fSZxdW90OywmcXVvdDtTZWN0aW9uMS9tYXBwaW5nX2J1ZGdldC1UQk9fcmVsYXRpdmUvVHlwZSBnZXdpanppZ2Que0NvbHVtbjM2LDM1fSZxdW90OywmcXVvdDtTZWN0aW9uMS9tYXBwaW5nX2J1ZGdldC1UQk9fcmVsYXRpdmUvVHlwZSBnZXdpanppZ2Que0NvbHVtbjM3LDM2fSZxdW90OywmcXVvdDtTZWN0aW9uMS9tYXBwaW5nX2J1ZGdldC1UQk9fcmVsYXRpdmUvVHlwZSBnZXdpanppZ2Que0NvbHVtbjM4LDM3fSZxdW90OywmcXVvdDtTZWN0aW9uMS9tYXBwaW5nX2J1ZGdldC1UQk9fcmVsYXRpdmUvVHlwZSBnZXdpanppZ2Que0NvbHVtbjM5LDM4fSZxdW90OywmcXVvdDtTZWN0aW9uMS9tYXBwaW5nX2J1ZGdldC1UQk9fcmVsYXRpdmUvVHlwZSBnZXdpanppZ2Que0NvbHVtbjQwLDM5fSZxdW90OywmcXVvdDtTZWN0aW9uMS9tYXBwaW5nX2J1ZGdldC1UQk9fcmVsYXRpdmUvVHlwZSBnZXdpanppZ2Que0NvbHVtbjQxLDQwfSZxdW90OywmcXVvdDtTZWN0aW9uMS9tYXBwaW5nX2J1ZGdldC1UQk9fcmVsYXRpdmUvVHlwZSBnZXdpanppZ2Que0NvbHVtbjQyLDQxfSZxdW90OywmcXVvdDtTZWN0aW9uMS9tYXBwaW5nX2J1ZGdldC1UQk9fcmVsYXRpdmUvVHlwZSBnZXdpanppZ2Que0NvbHVtbjQzLDQyfSZxdW90OywmcXVvdDtTZWN0aW9uMS9tYXBwaW5nX2J1ZGdldC1UQk9fcmVsYXRpdmUvVHlwZSBnZXdpanppZ2Que0NvbHVtbjQ0LDQzfSZxdW90OywmcXVvdDtTZWN0aW9uMS9tYXBwaW5nX2J1ZGdldC1UQk9fcmVsYXRpdmUvVHlwZSBnZXdpanppZ2Que0NvbHVtbjQ1LDQ0fSZxdW90OywmcXVvdDtTZWN0aW9uMS9tYXBwaW5nX2J1ZGdldC1UQk9fcmVsYXRpdmUvVHlwZSBnZXdpanppZ2Que0NvbHVtbjQ2LDQ1fSZxdW90OywmcXVvdDtTZWN0aW9uMS9tYXBwaW5nX2J1ZGdldC1UQk9fcmVsYXRpdmUvVHlwZSBnZXdpanppZ2Que0NvbHVtbjQ3LDQ2fSZxdW90OywmcXVvdDtTZWN0aW9uMS9tYXBwaW5nX2J1ZGdldC1UQk9fcmVsYXRpdmUvVHlwZSBnZXdpanppZ2Que0NvbHVtbjQ4LDQ3fSZxdW90OywmcXVvdDtTZWN0aW9uMS9tYXBwaW5nX2J1ZGdldC1UQk9fcmVsYXRpdmUvVHlwZSBnZXdpanppZ2Que0NvbHVtbjQ5LDQ4fSZxdW90OywmcXVvdDtTZWN0aW9uMS9tYXBwaW5nX2J1ZGdldC1UQk9fcmVsYXRpdmUvVHlwZSBnZXdpanppZ2Que0NvbHVtbjUwLDQ5fSZxdW90OywmcXVvdDtTZWN0aW9uMS9tYXBwaW5nX2J1ZGdldC1UQk9fcmVsYXRpdmUvVHlwZSBnZXdpanppZ2Que0NvbHVtbjUxLDUwfSZxdW90OywmcXVvdDtTZWN0aW9uMS9tYXBwaW5nX2J1ZGdldC1UQk9fcmVsYXRpdmUvVHlwZSBnZXdpanppZ2Que0NvbHVtbjUyLDUxfSZxdW90OywmcXVvdDtTZWN0aW9uMS9tYXBwaW5nX2J1ZGdldC1UQk9fcmVsYXRpdmUvVHlwZSBnZXdpanppZ2Que0NvbHVtbjUzLDUyfSZxdW90OywmcXVvdDtTZWN0aW9uMS9tYXBwaW5nX2J1ZGdldC1UQk9fcmVsYXRpdmUvVHlwZSBnZXdpanppZ2Que0NvbHVtbjU0LDUzfSZxdW90OywmcXVvdDtTZWN0aW9uMS9tYXBwaW5nX2J1ZGdldC1UQk9fcmVsYXRpdmUvVHlwZSBnZXdpanppZ2Que0NvbHVtbjU1LDU0fSZxdW90OywmcXVvdDtTZWN0aW9uMS9tYXBwaW5nX2J1ZGdldC1UQk9fcmVsYXRpdmUvVHlwZSBnZXdpanppZ2Que0NvbHVtbjU2LDU1fSZxdW90OywmcXVvdDtTZWN0aW9uMS9tYXBwaW5nX2J1ZGdldC1UQk9fcmVsYXRpdmUvVHlwZSBnZXdpanppZ2Que0NvbHVtbjU3LDU2fSZxdW90OywmcXVvdDtTZWN0aW9uMS9tYXBwaW5nX2J1ZGdldC1UQk9fcmVsYXRpdmUvVHlwZSBnZXdpanppZ2Que0NvbHVtbjU4LDU3fSZxdW90OywmcXVvdDtTZWN0aW9uMS9tYXBwaW5nX2J1ZGdldC1UQk9fcmVsYXRpdmUvVHlwZSBnZXdpanppZ2Que0NvbHVtbjU5LDU4fSZxdW90OywmcXVvdDtTZWN0aW9uMS9tYXBwaW5nX2J1ZGdldC1UQk9fcmVsYXRpdmUvVHlwZSBnZXdpanppZ2Que0NvbHVtbjYwLDU5fSZxdW90OywmcXVvdDtTZWN0aW9uMS9tYXBwaW5nX2J1ZGdldC1UQk9fcmVsYXRpdmUvVHlwZSBnZXdpanppZ2Que0NvbHVtbjYxLDYwfSZxdW90OywmcXVvdDtTZWN0aW9uMS9tYXBwaW5nX2J1ZGdldC1UQk9fcmVsYXRpdmUvVHlwZSBnZXdpanppZ2Que0NvbHVtbjYyLDYxfSZxdW90OywmcXVvdDtTZWN0aW9uMS9tYXBwaW5nX2J1ZGdldC1UQk9fcmVsYXRpdmUvVHlwZSBnZXdpanppZ2Que0NvbHVtbjYzLDYyfSZxdW90OywmcXVvdDtTZWN0aW9uMS9tYXBwaW5nX2J1ZGdldC1UQk9fcmVsYXRpdmUvVHlwZSBnZXdpanppZ2Que0NvbHVtbjY0LDYzfSZxdW90OywmcXVvdDtTZWN0aW9uMS9tYXBwaW5nX2J1ZGdldC1UQk9fcmVsYXRpdmUvVHlwZSBnZXdpanppZ2Que0NvbHVtbjY1LDY0fSZxdW90OywmcXVvdDtTZWN0aW9uMS9tYXBwaW5nX2J1ZGdldC1UQk9fcmVsYXRpdmUvVHlwZSBnZXdpanppZ2Que0NvbHVtbjY2LDY1fSZxdW90OywmcXVvdDtTZWN0aW9uMS9tYXBwaW5nX2J1ZGdldC1UQk9fcmVsYXRpdmUvVHlwZSBnZXdpanppZ2Que0NvbHVtbjY3LDY2fSZxdW90OywmcXVvdDtTZWN0aW9uMS9tYXBwaW5nX2J1ZGdldC1UQk9fcmVsYXRpdmUvVHlwZSBnZXdpanppZ2Que0NvbHVtbjY4LDY3fSZxdW90OywmcXVvdDtTZWN0aW9uMS9tYXBwaW5nX2J1ZGdldC1UQk9fcmVsYXRpdmUvVHlwZSBnZXdpanppZ2Que0NvbHVtbjY5LDY4fSZxdW90OywmcXVvdDtTZWN0aW9uMS9tYXBwaW5nX2J1ZGdldC1UQk9fcmVsYXRpdmUvVHlwZSBnZXdpanppZ2Que0NvbHVtbjcwLDY5fSZxdW90OywmcXVvdDtTZWN0aW9uMS9tYXBwaW5nX2J1ZGdldC1UQk9fcmVsYXRpdmUvVHlwZSBnZXdpanppZ2Que0NvbHVtbjcxLDcwfSZxdW90OywmcXVvdDtTZWN0aW9uMS9tYXBwaW5nX2J1ZGdldC1UQk9fcmVsYXRpdmUvVHlwZSBnZXdpanppZ2Que0NvbHVtbjcyLDcxfSZxdW90OywmcXVvdDtTZWN0aW9uMS9tYXBwaW5nX2J1ZGdldC1UQk9fcmVsYXRpdmUvVHlwZSBnZXdpanppZ2Que0NvbHVtbjczLDcyfSZxdW90OywmcXVvdDtTZWN0aW9uMS9tYXBwaW5nX2J1ZGdldC1UQk9fcmVsYXRpdmUvVHlwZSBnZXdpanppZ2Que0NvbHVtbjc0LDczfSZxdW90OywmcXVvdDtTZWN0aW9uMS9tYXBwaW5nX2J1ZGdldC1UQk9fcmVsYXRpdmUvVHlwZSBnZXdpanppZ2Que0NvbHVtbjc1LDc0fSZxdW90OywmcXVvdDtTZWN0aW9uMS9tYXBwaW5nX2J1ZGdldC1UQk9fcmVsYXRpdmUvVHlwZSBnZXdpanppZ2Que0NvbHVtbjc2LDc1fSZxdW90OywmcXVvdDtTZWN0aW9uMS9tYXBwaW5nX2J1ZGdldC1UQk9fcmVsYXRpdmUvVHlwZSBnZXdpanppZ2Que0NvbHVtbjc3LDc2fSZxdW90OywmcXVvdDtTZWN0aW9uMS9tYXBwaW5nX2J1ZGdldC1UQk9fcmVsYXRpdmUvVHlwZSBnZXdpanppZ2Que0NvbHVtbjc4LDc3fSZxdW90OywmcXVvdDtTZWN0aW9uMS9tYXBwaW5nX2J1ZGdldC1UQk9fcmVsYXRpdmUvVHlwZSBnZXdpanppZ2Que0NvbHVtbjc5LDc4fSZxdW90OywmcXVvdDtTZWN0aW9uMS9tYXBwaW5nX2J1ZGdldC1UQk9fcmVsYXRpdmUvVHlwZSBnZXdpanppZ2Que0NvbHVtbjgwLDc5fSZxdW90OywmcXVvdDtTZWN0aW9uMS9tYXBwaW5nX2J1ZGdldC1UQk9fcmVsYXRpdmUvVHlwZSBnZXdpanppZ2Que0NvbHVtbjgxLDgwfSZxdW90OywmcXVvdDtTZWN0aW9uMS9tYXBwaW5nX2J1ZGdldC1UQk9fcmVsYXRpdmUvVHlwZSBnZXdpanppZ2Que0NvbHVtbjgyLDgxfSZxdW90OywmcXVvdDtTZWN0aW9uMS9tYXBwaW5nX2J1ZGdldC1UQk9fcmVsYXRpdmUvVHlwZSBnZXdpanppZ2Que0NvbHVtbjgzLDgyfSZxdW90OywmcXVvdDtTZWN0aW9uMS9tYXBwaW5nX2J1ZGdldC1UQk9fcmVsYXRpdmUvVHlwZSBnZXdpanppZ2Que0NvbHVtbjg0LDgzfSZxdW90OywmcXVvdDtTZWN0aW9uMS9tYXBwaW5nX2J1ZGdldC1UQk9fcmVsYXRpdmUvVHlwZSBnZXdpanppZ2Que0NvbHVtbjg1LDg0fSZxdW90OywmcXVvdDtTZWN0aW9uMS9tYXBwaW5nX2J1ZGdldC1UQk9fcmVsYXRpdmUvVHlwZSBnZXdpanppZ2Que0NvbHVtbjg2LDg1fSZxdW90OywmcXVvdDtTZWN0aW9uMS9tYXBwaW5nX2J1ZGdldC1UQk9fcmVsYXRpdmUvVHlwZSBnZXdpanppZ2Que0NvbHVtbjg3LDg2fSZxdW90OywmcXVvdDtTZWN0aW9uMS9tYXBwaW5nX2J1ZGdldC1UQk9fcmVsYXRpdmUvVHlwZSBnZXdpanppZ2Que0NvbHVtbjg4LDg3fSZxdW90OywmcXVvdDtTZWN0aW9uMS9tYXBwaW5nX2J1ZGdldC1UQk9fcmVsYXRpdmUvVHlwZSBnZXdpanppZ2Que0NvbHVtbjg5LDg4fSZxdW90OywmcXVvdDtTZWN0aW9uMS9tYXBwaW5nX2J1ZGdldC1UQk9fcmVsYXRpdmUvVHlwZSBnZXdpanppZ2Que0NvbHVtbjkwLDg5fSZxdW90OywmcXVvdDtTZWN0aW9uMS9tYXBwaW5nX2J1ZGdldC1UQk9fcmVsYXRpdmUvVHlwZSBnZXdpanppZ2Que0NvbHVtbjkxLDkwfSZxdW90OywmcXVvdDtTZWN0aW9uMS9tYXBwaW5nX2J1ZGdldC1UQk9fcmVsYXRpdmUvVHlwZSBnZXdpanppZ2Que0NvbHVtbjkyLDkxfSZxdW90OywmcXVvdDtTZWN0aW9uMS9tYXBwaW5nX2J1ZGdldC1UQk9fcmVsYXRpdmUvVHlwZSBnZXdpanppZ2Que0NvbHVtbjkzLDkyfSZxdW90OywmcXVvdDtTZWN0aW9uMS9tYXBwaW5nX2J1ZGdldC1UQk9fcmVsYXRpdmUvVHlwZSBnZXdpanppZ2Que0NvbHVtbjk0LDkzfSZxdW90OywmcXVvdDtTZWN0aW9uMS9tYXBwaW5nX2J1ZGdldC1UQk9fcmVsYXRpdmUvVHlwZSBnZXdpanppZ2Que0NvbHVtbjk1LDk0fSZxdW90OywmcXVvdDtTZWN0aW9uMS9tYXBwaW5nX2J1ZGdldC1UQk9fcmVsYXRpdmUvVHlwZSBnZXdpanppZ2Que0NvbHVtbjk2LDk1fSZxdW90OywmcXVvdDtTZWN0aW9uMS9tYXBwaW5nX2J1ZGdldC1UQk9fcmVsYXRpdmUvVHlwZSBnZXdpanppZ2Que0NvbHVtbjk3LDk2fSZxdW90OywmcXVvdDtTZWN0aW9uMS9tYXBwaW5nX2J1ZGdldC1UQk9fcmVsYXRpdmUvVHlwZSBnZXdpanppZ2Que0NvbHVtbjk4LDk3fSZxdW90OywmcXVvdDtTZWN0aW9uMS9tYXBwaW5nX2J1ZGdldC1UQk9fcmVsYXRpdmUvVHlwZSBnZXdpanppZ2Que0NvbHVtbjk5LDk4fSZxdW90OywmcXVvdDtTZWN0aW9uMS9tYXBwaW5nX2J1ZGdldC1UQk9fcmVsYXRpdmUvVHlwZSBnZXdpanppZ2Que0NvbHVtbjEwMCw5OX0mcXVvdDssJnF1b3Q7U2VjdGlvbjEvbWFwcGluZ19idWRnZXQtVEJPX3JlbGF0aXZlL1R5cGUgZ2V3aWp6aWdkLntDb2x1bW4xMDEsMTAwfSZxdW90OywmcXVvdDtTZWN0aW9uMS9tYXBwaW5nX2J1ZGdldC1UQk9fcmVsYXRpdmUvVHlwZSBnZXdpanppZ2Que0NvbHVtbjEwMiwxMDF9JnF1b3Q7LCZxdW90O1NlY3Rpb24xL21hcHBpbmdfYnVkZ2V0LVRCT19yZWxhdGl2ZS9UeXBlIGdld2lqemlnZC57Q29sdW1uMTAzLDEwMn0mcXVvdDssJnF1b3Q7U2VjdGlvbjEvbWFwcGluZ19idWRnZXQtVEJPX3JlbGF0aXZlL1R5cGUgZ2V3aWp6aWdkLntDb2x1bW4xMDQsMTAzfSZxdW90OywmcXVvdDtTZWN0aW9uMS9tYXBwaW5nX2J1ZGdldC1UQk9fcmVsYXRpdmUvVHlwZSBnZXdpanppZ2Que0NvbHVtbjEwNSwxMDR9JnF1b3Q7LCZxdW90O1NlY3Rpb24xL21hcHBpbmdfYnVkZ2V0LVRCT19yZWxhdGl2ZS9UeXBlIGdld2lqemlnZC57Q29sdW1uMTA2LDEwNX0mcXVvdDssJnF1b3Q7U2VjdGlvbjEvbWFwcGluZ19idWRnZXQtVEJPX3JlbGF0aXZlL1R5cGUgZ2V3aWp6aWdkLntDb2x1bW4xMDcsMTA2fSZxdW90OywmcXVvdDtTZWN0aW9uMS9tYXBwaW5nX2J1ZGdldC1UQk9fcmVsYXRpdmUvVHlwZSBnZXdpanppZ2Que0NvbHVtbjEwOCwxMDd9JnF1b3Q7LCZxdW90O1NlY3Rpb24xL21hcHBpbmdfYnVkZ2V0LVRCT19yZWxhdGl2ZS9UeXBlIGdld2lqemlnZC57Q29sdW1uMTA5LDEwOH0mcXVvdDssJnF1b3Q7U2VjdGlvbjEvbWFwcGluZ19idWRnZXQtVEJPX3JlbGF0aXZlL1R5cGUgZ2V3aWp6aWdkLntDb2x1bW4xMTAsMTA5fSZxdW90OywmcXVvdDtTZWN0aW9uMS9tYXBwaW5nX2J1ZGdldC1UQk9fcmVsYXRpdmUvVHlwZSBnZXdpanppZ2Que0NvbHVtbjExMSwxMTB9JnF1b3Q7LCZxdW90O1NlY3Rpb24xL21hcHBpbmdfYnVkZ2V0LVRCT19yZWxhdGl2ZS9UeXBlIGdld2lqemlnZC57Q29sdW1uMTEyLDExMX0mcXVvdDssJnF1b3Q7U2VjdGlvbjEvbWFwcGluZ19idWRnZXQtVEJPX3JlbGF0aXZlL1R5cGUgZ2V3aWp6aWdkLntDb2x1bW4xMTMsMTEyfSZxdW90OywmcXVvdDtTZWN0aW9uMS9tYXBwaW5nX2J1ZGdldC1UQk9fcmVsYXRpdmUvVHlwZSBnZXdpanppZ2Que0NvbHVtbjExNCwxMTN9JnF1b3Q7LCZxdW90O1NlY3Rpb24xL21hcHBpbmdfYnVkZ2V0LVRCT19yZWxhdGl2ZS9UeXBlIGdld2lqemlnZC57Q29sdW1uMTE1LDExNH0mcXVvdDssJnF1b3Q7U2VjdGlvbjEvbWFwcGluZ19idWRnZXQtVEJPX3JlbGF0aXZlL1R5cGUgZ2V3aWp6aWdkLntDb2x1bW4xMTYsMTE1fSZxdW90OywmcXVvdDtTZWN0aW9uMS9tYXBwaW5nX2J1ZGdldC1UQk9fcmVsYXRpdmUvVHlwZSBnZXdpanppZ2Que0NvbHVtbjExNywxMTZ9JnF1b3Q7LCZxdW90O1NlY3Rpb24xL21hcHBpbmdfYnVkZ2V0LVRCT19yZWxhdGl2ZS9UeXBlIGdld2lqemlnZC57Q29sdW1uMTE4LDExN30mcXVvdDssJnF1b3Q7U2VjdGlvbjEvbWFwcGluZ19idWRnZXQtVEJPX3JlbGF0aXZlL1R5cGUgZ2V3aWp6aWdkLntDb2x1bW4xMTksMTE4fSZxdW90OywmcXVvdDtTZWN0aW9uMS9tYXBwaW5nX2J1ZGdldC1UQk9fcmVsYXRpdmUvVHlwZSBnZXdpanppZ2Que0NvbHVtbjEyMCwxMTl9JnF1b3Q7LCZxdW90O1NlY3Rpb24xL21hcHBpbmdfYnVkZ2V0LVRCT19yZWxhdGl2ZS9UeXBlIGdld2lqemlnZC57Q29sdW1uMTIxLDEyMH0mcXVvdDssJnF1b3Q7U2VjdGlvbjEvbWFwcGluZ19idWRnZXQtVEJPX3JlbGF0aXZlL1R5cGUgZ2V3aWp6aWdkLntDb2x1bW4xMjIsMTIxfSZxdW90OywmcXVvdDtTZWN0aW9uMS9tYXBwaW5nX2J1ZGdldC1UQk9fcmVsYXRpdmUvVHlwZSBnZXdpanppZ2Que0NvbHVtbjEyMywxMjJ9JnF1b3Q7LCZxdW90O1NlY3Rpb24xL21hcHBpbmdfYnVkZ2V0LVRCT19yZWxhdGl2ZS9UeXBlIGdld2lqemlnZC57Q29sdW1uMTI0LDEyM30mcXVvdDssJnF1b3Q7U2VjdGlvbjEvbWFwcGluZ19idWRnZXQtVEJPX3JlbGF0aXZlL1R5cGUgZ2V3aWp6aWdkLntDb2x1bW4xMjUsMTI0fSZxdW90OywmcXVvdDtTZWN0aW9uMS9tYXBwaW5nX2J1ZGdldC1UQk9fcmVsYXRpdmUvVHlwZSBnZXdpanppZ2Que0NvbHVtbjEyNiwxMjV9JnF1b3Q7LCZxdW90O1NlY3Rpb24xL21hcHBpbmdfYnVkZ2V0LVRCT19yZWxhdGl2ZS9UeXBlIGdld2lqemlnZC57Q29sdW1uMTI3LDEyNn0mcXVvdDssJnF1b3Q7U2VjdGlvbjEvbWFwcGluZ19idWRnZXQtVEJPX3JlbGF0aXZlL1R5cGUgZ2V3aWp6aWdkLntDb2x1bW4xMjgsMTI3fSZxdW90OywmcXVvdDtTZWN0aW9uMS9tYXBwaW5nX2J1ZGdldC1UQk9fcmVsYXRpdmUvVHlwZSBnZXdpanppZ2Que0NvbHVtbjEyOSwxMjh9JnF1b3Q7LCZxdW90O1NlY3Rpb24xL21hcHBpbmdfYnVkZ2V0LVRCT19yZWxhdGl2ZS9UeXBlIGdld2lqemlnZC57Q29sdW1uMTMwLDEyOX0mcXVvdDssJnF1b3Q7U2VjdGlvbjEvbWFwcGluZ19idWRnZXQtVEJPX3JlbGF0aXZlL1R5cGUgZ2V3aWp6aWdkLntDb2x1bW4xMzEsMTMwfSZxdW90OywmcXVvdDtTZWN0aW9uMS9tYXBwaW5nX2J1ZGdldC1UQk9fcmVsYXRpdmUvVHlwZSBnZXdpanppZ2Que0NvbHVtbjEzMiwxMzF9JnF1b3Q7LCZxdW90O1NlY3Rpb24xL21hcHBpbmdfYnVkZ2V0LVRCT19yZWxhdGl2ZS9UeXBlIGdld2lqemlnZC57Q29sdW1uMTMzLDEzMn0mcXVvdDssJnF1b3Q7U2VjdGlvbjEvbWFwcGluZ19idWRnZXQtVEJPX3JlbGF0aXZlL1R5cGUgZ2V3aWp6aWdkLntDb2x1bW4xMzQsMTMzfSZxdW90OywmcXVvdDtTZWN0aW9uMS9tYXBwaW5nX2J1ZGdldC1UQk9fcmVsYXRpdmUvVHlwZSBnZXdpanppZ2Que0NvbHVtbjEzNSwxMzR9JnF1b3Q7LCZxdW90O1NlY3Rpb24xL21hcHBpbmdfYnVkZ2V0LVRCT19yZWxhdGl2ZS9UeXBlIGdld2lqemlnZC57Q29sdW1uMTM2LDEzNX0mcXVvdDssJnF1b3Q7U2VjdGlvbjEvbWFwcGluZ19idWRnZXQtVEJPX3JlbGF0aXZlL1R5cGUgZ2V3aWp6aWdkLntDb2x1bW4xMzcsMTM2fSZxdW90OywmcXVvdDtTZWN0aW9uMS9tYXBwaW5nX2J1ZGdldC1UQk9fcmVsYXRpdmUvVHlwZSBnZXdpanppZ2Que0NvbHVtbjEzOCwxMzd9JnF1b3Q7LCZxdW90O1NlY3Rpb24xL21hcHBpbmdfYnVkZ2V0LVRCT19yZWxhdGl2ZS9UeXBlIGdld2lqemlnZC57Q29sdW1uMTM5LDEzOH0mcXVvdDssJnF1b3Q7U2VjdGlvbjEvbWFwcGluZ19idWRnZXQtVEJPX3JlbGF0aXZlL1R5cGUgZ2V3aWp6aWdkLntDb2x1bW4xNDAsMTM5fSZxdW90OywmcXVvdDtTZWN0aW9uMS9tYXBwaW5nX2J1ZGdldC1UQk9fcmVsYXRpdmUvVHlwZSBnZXdpanppZ2Que0NvbHVtbjE0MSwxNDB9JnF1b3Q7LCZxdW90O1NlY3Rpb24xL21hcHBpbmdfYnVkZ2V0LVRCT19yZWxhdGl2ZS9UeXBlIGdld2lqemlnZC57Q29sdW1uMTQyLDE0MX0mcXVvdDssJnF1b3Q7U2VjdGlvbjEvbWFwcGluZ19idWRnZXQtVEJPX3JlbGF0aXZlL1R5cGUgZ2V3aWp6aWdkLntDb2x1bW4xNDMsMTQyfSZxdW90OywmcXVvdDtTZWN0aW9uMS9tYXBwaW5nX2J1ZGdldC1UQk9fcmVsYXRpdmUvVHlwZSBnZXdpanppZ2Que0NvbHVtbjE0NCwxNDN9JnF1b3Q7LCZxdW90O1NlY3Rpb24xL21hcHBpbmdfYnVkZ2V0LVRCT19yZWxhdGl2ZS9UeXBlIGdld2lqemlnZC57Q29sdW1uMTQ1LDE0NH0mcXVvdDssJnF1b3Q7U2VjdGlvbjEvbWFwcGluZ19idWRnZXQtVEJPX3JlbGF0aXZlL1R5cGUgZ2V3aWp6aWdkLntDb2x1bW4xNDYsMTQ1fSZxdW90OywmcXVvdDtTZWN0aW9uMS9tYXBwaW5nX2J1ZGdldC1UQk9fcmVsYXRpdmUvVHlwZSBnZXdpanppZ2Que0NvbHVtbjE0NywxNDZ9JnF1b3Q7LCZxdW90O1NlY3Rpb24xL21hcHBpbmdfYnVkZ2V0LVRCT19yZWxhdGl2ZS9UeXBlIGdld2lqemlnZC57Q29sdW1uMTQ4LDE0N30mcXVvdDssJnF1b3Q7U2VjdGlvbjEvbWFwcGluZ19idWRnZXQtVEJPX3JlbGF0aXZlL1R5cGUgZ2V3aWp6aWdkLntDb2x1bW4xNDksMTQ4fSZxdW90OywmcXVvdDtTZWN0aW9uMS9tYXBwaW5nX2J1ZGdldC1UQk9fcmVsYXRpdmUvVHlwZSBnZXdpanppZ2Que0NvbHVtbjE1MCwxNDl9JnF1b3Q7LCZxdW90O1NlY3Rpb24xL21hcHBpbmdfYnVkZ2V0LVRCT19yZWxhdGl2ZS9UeXBlIGdld2lqemlnZC57Q29sdW1uMTUxLDE1MH0mcXVvdDssJnF1b3Q7U2VjdGlvbjEvbWFwcGluZ19idWRnZXQtVEJPX3JlbGF0aXZlL1R5cGUgZ2V3aWp6aWdkLntDb2x1bW4xNTIsMTUxfSZxdW90OywmcXVvdDtTZWN0aW9uMS9tYXBwaW5nX2J1ZGdldC1UQk9fcmVsYXRpdmUvVHlwZSBnZXdpanppZ2Que0NvbHVtbjE1MywxNTJ9JnF1b3Q7LCZxdW90O1NlY3Rpb24xL21hcHBpbmdfYnVkZ2V0LVRCT19yZWxhdGl2ZS9UeXBlIGdld2lqemlnZC57Q29sdW1uMTU0LDE1M30mcXVvdDssJnF1b3Q7U2VjdGlvbjEvbWFwcGluZ19idWRnZXQtVEJPX3JlbGF0aXZlL1R5cGUgZ2V3aWp6aWdkLntDb2x1bW4xNTUsMTU0fSZxdW90OywmcXVvdDtTZWN0aW9uMS9tYXBwaW5nX2J1ZGdldC1UQk9fcmVsYXRpdmUvVHlwZSBnZXdpanppZ2Que0NvbHVtbjE1NiwxNTV9JnF1b3Q7LCZxdW90O1NlY3Rpb24xL21hcHBpbmdfYnVkZ2V0LVRCT19yZWxhdGl2ZS9UeXBlIGdld2lqemlnZC57Q29sdW1uMTU3LDE1Nn0mcXVvdDssJnF1b3Q7U2VjdGlvbjEvbWFwcGluZ19idWRnZXQtVEJPX3JlbGF0aXZlL1R5cGUgZ2V3aWp6aWdkLntDb2x1bW4xNTgsMTU3fSZxdW90OywmcXVvdDtTZWN0aW9uMS9tYXBwaW5nX2J1ZGdldC1UQk9fcmVsYXRpdmUvVHlwZSBnZXdpanppZ2Que0NvbHVtbjE1OSwxNTh9JnF1b3Q7LCZxdW90O1NlY3Rpb24xL21hcHBpbmdfYnVkZ2V0LVRCT19yZWxhdGl2ZS9UeXBlIGdld2lqemlnZC57Q29sdW1uMTYwLDE1OX0mcXVvdDssJnF1b3Q7U2VjdGlvbjEvbWFwcGluZ19idWRnZXQtVEJPX3JlbGF0aXZlL1R5cGUgZ2V3aWp6aWdkLntDb2x1bW4xNjEsMTYwfSZxdW90OywmcXVvdDtTZWN0aW9uMS9tYXBwaW5nX2J1ZGdldC1UQk9fcmVsYXRpdmUvVHlwZSBnZXdpanppZ2Que0NvbHVtbjE2MiwxNjF9JnF1b3Q7LCZxdW90O1NlY3Rpb24xL21hcHBpbmdfYnVkZ2V0LVRCT19yZWxhdGl2ZS9UeXBlIGdld2lqemlnZC57Q29sdW1uMTYzLDE2Mn0mcXVvdDssJnF1b3Q7U2VjdGlvbjEvbWFwcGluZ19idWRnZXQtVEJPX3JlbGF0aXZlL1R5cGUgZ2V3aWp6aWdkLntDb2x1bW4xNjQsMTYzfSZxdW90OywmcXVvdDtTZWN0aW9uMS9tYXBwaW5nX2J1ZGdldC1UQk9fcmVsYXRpdmUvVHlwZSBnZXdpanppZ2Que0NvbHVtbjE2NSwxNjR9JnF1b3Q7LCZxdW90O1NlY3Rpb24xL21hcHBpbmdfYnVkZ2V0LVRCT19yZWxhdGl2ZS9UeXBlIGdld2lqemlnZC57Q29sdW1uMTY2LDE2NX0mcXVvdDssJnF1b3Q7U2VjdGlvbjEvbWFwcGluZ19idWRnZXQtVEJPX3JlbGF0aXZlL1R5cGUgZ2V3aWp6aWdkLntDb2x1bW4xNjcsMTY2fSZxdW90OywmcXVvdDtTZWN0aW9uMS9tYXBwaW5nX2J1ZGdldC1UQk9fcmVsYXRpdmUvVHlwZSBnZXdpanppZ2Que0NvbHVtbjE2OCwxNjd9JnF1b3Q7LCZxdW90O1NlY3Rpb24xL21hcHBpbmdfYnVkZ2V0LVRCT19yZWxhdGl2ZS9UeXBlIGdld2lqemlnZC57Q29sdW1uMTY5LDE2OH0mcXVvdDssJnF1b3Q7U2VjdGlvbjEvbWFwcGluZ19idWRnZXQtVEJPX3JlbGF0aXZlL1R5cGUgZ2V3aWp6aWdkLntDb2x1bW4xNzAsMTY5fSZxdW90OywmcXVvdDtTZWN0aW9uMS9tYXBwaW5nX2J1ZGdldC1UQk9fcmVsYXRpdmUvVHlwZSBnZXdpanppZ2Que0NvbHVtbjE3MSwxNzB9JnF1b3Q7LCZxdW90O1NlY3Rpb24xL21hcHBpbmdfYnVkZ2V0LVRCT19yZWxhdGl2ZS9UeXBlIGdld2lqemlnZC57Q29sdW1uMTcyLDE3MX0mcXVvdDssJnF1b3Q7U2VjdGlvbjEvbWFwcGluZ19idWRnZXQtVEJPX3JlbGF0aXZlL1R5cGUgZ2V3aWp6aWdkLntDb2x1bW4xNzMsMTcyfSZxdW90OywmcXVvdDtTZWN0aW9uMS9tYXBwaW5nX2J1ZGdldC1UQk9fcmVsYXRpdmUvVHlwZSBnZXdpanppZ2Que0NvbHVtbjE3NCwxNzN9JnF1b3Q7LCZxdW90O1NlY3Rpb24xL21hcHBpbmdfYnVkZ2V0LVRCT19yZWxhdGl2ZS9UeXBlIGdld2lqemlnZC57Q29sdW1uMTc1LDE3NH0mcXVvdDssJnF1b3Q7U2VjdGlvbjEvbWFwcGluZ19idWRnZXQtVEJPX3JlbGF0aXZlL1R5cGUgZ2V3aWp6aWdkLntDb2x1bW4xNzYsMTc1fSZxdW90OywmcXVvdDtTZWN0aW9uMS9tYXBwaW5nX2J1ZGdldC1UQk9fcmVsYXRpdmUvVHlwZSBnZXdpanppZ2Que0NvbHVtbjE3NywxNzZ9JnF1b3Q7LCZxdW90O1NlY3Rpb24xL21hcHBpbmdfYnVkZ2V0LVRCT19yZWxhdGl2ZS9UeXBlIGdld2lqemlnZC57Q29sdW1uMTc4LDE3N30mcXVvdDssJnF1b3Q7U2VjdGlvbjEvbWFwcGluZ19idWRnZXQtVEJPX3JlbGF0aXZlL1R5cGUgZ2V3aWp6aWdkLntDb2x1bW4xNzksMTc4fSZxdW90OywmcXVvdDtTZWN0aW9uMS9tYXBwaW5nX2J1ZGdldC1UQk9fcmVsYXRpdmUvVHlwZSBnZXdpanppZ2Que0NvbHVtbjE4MCwxNzl9JnF1b3Q7LCZxdW90O1NlY3Rpb24xL21hcHBpbmdfYnVkZ2V0LVRCT19yZWxhdGl2ZS9UeXBlIGdld2lqemlnZC57Q29sdW1uMTgxLDE4MH0mcXVvdDssJnF1b3Q7U2VjdGlvbjEvbWFwcGluZ19idWRnZXQtVEJPX3JlbGF0aXZlL1R5cGUgZ2V3aWp6aWdkLntDb2x1bW4xODIsMTgxfSZxdW90OywmcXVvdDtTZWN0aW9uMS9tYXBwaW5nX2J1ZGdldC1UQk9fcmVsYXRpdmUvVHlwZSBnZXdpanppZ2Que0NvbHVtbjE4MywxODJ9JnF1b3Q7LCZxdW90O1NlY3Rpb24xL21hcHBpbmdfYnVkZ2V0LVRCT19yZWxhdGl2ZS9UeXBlIGdld2lqemlnZC57Q29sdW1uMTg0LDE4M30mcXVvdDssJnF1b3Q7U2VjdGlvbjEvbWFwcGluZ19idWRnZXQtVEJPX3JlbGF0aXZlL1R5cGUgZ2V3aWp6aWdkLntDb2x1bW4xODUsMTg0fSZxdW90OywmcXVvdDtTZWN0aW9uMS9tYXBwaW5nX2J1ZGdldC1UQk9fcmVsYXRpdmUvVHlwZSBnZXdpanppZ2Que0NvbHVtbjE4NiwxODV9JnF1b3Q7LCZxdW90O1NlY3Rpb24xL21hcHBpbmdfYnVkZ2V0LVRCT19yZWxhdGl2ZS9UeXBlIGdld2lqemlnZC57Q29sdW1uMTg3LDE4Nn0mcXVvdDssJnF1b3Q7U2VjdGlvbjEvbWFwcGluZ19idWRnZXQtVEJPX3JlbGF0aXZlL1R5cGUgZ2V3aWp6aWdkLntDb2x1bW4xODgsMTg3fSZxdW90OywmcXVvdDtTZWN0aW9uMS9tYXBwaW5nX2J1ZGdldC1UQk9fcmVsYXRpdmUvVHlwZSBnZXdpanppZ2Que0NvbHVtbjE4OSwxODh9JnF1b3Q7LCZxdW90O1NlY3Rpb24xL21hcHBpbmdfYnVkZ2V0LVRCT19yZWxhdGl2ZS9UeXBlIGdld2lqemlnZC57Q29sdW1uMTkwLDE4OX0mcXVvdDssJnF1b3Q7U2VjdGlvbjEvbWFwcGluZ19idWRnZXQtVEJPX3JlbGF0aXZlL1R5cGUgZ2V3aWp6aWdkLntDb2x1bW4xOTEsMTkwfSZxdW90OywmcXVvdDtTZWN0aW9uMS9tYXBwaW5nX2J1ZGdldC1UQk9fcmVsYXRpdmUvVHlwZSBnZXdpanppZ2Que0NvbHVtbjE5MiwxOTF9JnF1b3Q7LCZxdW90O1NlY3Rpb24xL21hcHBpbmdfYnVkZ2V0LVRCT19yZWxhdGl2ZS9UeXBlIGdld2lqemlnZC57Q29sdW1uMTkzLDE5Mn0mcXVvdDssJnF1b3Q7U2VjdGlvbjEvbWFwcGluZ19idWRnZXQtVEJPX3JlbGF0aXZlL1R5cGUgZ2V3aWp6aWdkLntDb2x1bW4xOTQsMTkzfSZxdW90OywmcXVvdDtTZWN0aW9uMS9tYXBwaW5nX2J1ZGdldC1UQk9fcmVsYXRpdmUvVHlwZSBnZXdpanppZ2Que0NvbHVtbjE5NSwxOTR9JnF1b3Q7LCZxdW90O1NlY3Rpb24xL21hcHBpbmdfYnVkZ2V0LVRCT19yZWxhdGl2ZS9UeXBlIGdld2lqemlnZC57Q29sdW1uMTk2LDE5NX0mcXVvdDssJnF1b3Q7U2VjdGlvbjEvbWFwcGluZ19idWRnZXQtVEJPX3JlbGF0aXZlL1R5cGUgZ2V3aWp6aWdkLntDb2x1bW4xOTcsMTk2fSZxdW90OywmcXVvdDtTZWN0aW9uMS9tYXBwaW5nX2J1ZGdldC1UQk9fcmVsYXRpdmUvVHlwZSBnZXdpanppZ2Que0NvbHVtbjE5OCwxOTd9JnF1b3Q7LCZxdW90O1NlY3Rpb24xL21hcHBpbmdfYnVkZ2V0LVRCT19yZWxhdGl2ZS9UeXBlIGdld2lqemlnZC57Q29sdW1uMTk5LDE5OH0mcXVvdDssJnF1b3Q7U2VjdGlvbjEvbWFwcGluZ19idWRnZXQtVEJPX3JlbGF0aXZlL1R5cGUgZ2V3aWp6aWdkLntDb2x1bW4yMDAsMTk5fSZxdW90OywmcXVvdDtTZWN0aW9uMS9tYXBwaW5nX2J1ZGdldC1UQk9fcmVsYXRpdmUvVHlwZSBnZXdpanppZ2Que0NvbHVtbjIwMSwyMDB9JnF1b3Q7LCZxdW90O1NlY3Rpb24xL21hcHBpbmdfYnVkZ2V0LVRCT19yZWxhdGl2ZS9UeXBlIGdld2lqemlnZC57Q29sdW1uMjAyLDIwMX0mcXVvdDssJnF1b3Q7U2VjdGlvbjEvbWFwcGluZ19idWRnZXQtVEJPX3JlbGF0aXZlL1R5cGUgZ2V3aWp6aWdkLntDb2x1bW4yMDMsMjAyfSZxdW90OywmcXVvdDtTZWN0aW9uMS9tYXBwaW5nX2J1ZGdldC1UQk9fcmVsYXRpdmUvVHlwZSBnZXdpanppZ2Que0NvbHVtbjIwNCwyMDN9JnF1b3Q7LCZxdW90O1NlY3Rpb24xL21hcHBpbmdfYnVkZ2V0LVRCT19yZWxhdGl2ZS9UeXBlIGdld2lqemlnZC57Q29sdW1uMjA1LDIwNH0mcXVvdDssJnF1b3Q7U2VjdGlvbjEvbWFwcGluZ19idWRnZXQtVEJPX3JlbGF0aXZlL1R5cGUgZ2V3aWp6aWdkLntDb2x1bW4yMDYsMjA1fSZxdW90OywmcXVvdDtTZWN0aW9uMS9tYXBwaW5nX2J1ZGdldC1UQk9fcmVsYXRpdmUvVHlwZSBnZXdpanppZ2Que0NvbHVtbjIwNywyMDZ9JnF1b3Q7LCZxdW90O1NlY3Rpb24xL21hcHBpbmdfYnVkZ2V0LVRCT19yZWxhdGl2ZS9UeXBlIGdld2lqemlnZC57Q29sdW1uMjA4LDIwN30mcXVvdDssJnF1b3Q7U2VjdGlvbjEvbWFwcGluZ19idWRnZXQtVEJPX3JlbGF0aXZlL1R5cGUgZ2V3aWp6aWdkLntDb2x1bW4yMDksMjA4fSZxdW90OywmcXVvdDtTZWN0aW9uMS9tYXBwaW5nX2J1ZGdldC1UQk9fcmVsYXRpdmUvVHlwZSBnZXdpanppZ2Que0NvbHVtbjIxMCwyMDl9JnF1b3Q7LCZxdW90O1NlY3Rpb24xL21hcHBpbmdfYnVkZ2V0LVRCT19yZWxhdGl2ZS9UeXBlIGdld2lqemlnZC57Q29sdW1uMjExLDIxMH0mcXVvdDssJnF1b3Q7U2VjdGlvbjEvbWFwcGluZ19idWRnZXQtVEJPX3JlbGF0aXZlL1R5cGUgZ2V3aWp6aWdkLntDb2x1bW4yMTIsMjExfSZxdW90OywmcXVvdDtTZWN0aW9uMS9tYXBwaW5nX2J1ZGdldC1UQk9fcmVsYXRpdmUvVHlwZSBnZXdpanppZ2Que0NvbHVtbjIxMywyMTJ9JnF1b3Q7LCZxdW90O1NlY3Rpb24xL21hcHBpbmdfYnVkZ2V0LVRCT19yZWxhdGl2ZS9UeXBlIGdld2lqemlnZC57Q29sdW1uMjE0LDIxM30mcXVvdDssJnF1b3Q7U2VjdGlvbjEvbWFwcGluZ19idWRnZXQtVEJPX3JlbGF0aXZlL1R5cGUgZ2V3aWp6aWdkLntDb2x1bW4yMTUsMjE0fSZxdW90OywmcXVvdDtTZWN0aW9uMS9tYXBwaW5nX2J1ZGdldC1UQk9fcmVsYXRpdmUvVHlwZSBnZXdpanppZ2Que0NvbHVtbjIxNiwyMTV9JnF1b3Q7LCZxdW90O1NlY3Rpb24xL21hcHBpbmdfYnVkZ2V0LVRCT19yZWxhdGl2ZS9UeXBlIGdld2lqemlnZC57Q29sdW1uMjE3LDIxNn0mcXVvdDssJnF1b3Q7U2VjdGlvbjEvbWFwcGluZ19idWRnZXQtVEJPX3JlbGF0aXZlL1R5cGUgZ2V3aWp6aWdkLntDb2x1bW4yMTgsMjE3fSZxdW90OywmcXVvdDtTZWN0aW9uMS9tYXBwaW5nX2J1ZGdldC1UQk9fcmVsYXRpdmUvVHlwZSBnZXdpanppZ2Que0NvbHVtbjIxOSwyMTh9JnF1b3Q7LCZxdW90O1NlY3Rpb24xL21hcHBpbmdfYnVkZ2V0LVRCT19yZWxhdGl2ZS9UeXBlIGdld2lqemlnZC57Q29sdW1uMjIwLDIxOX0mcXVvdDssJnF1b3Q7U2VjdGlvbjEvbWFwcGluZ19idWRnZXQtVEJPX3JlbGF0aXZlL1R5cGUgZ2V3aWp6aWdkLntDb2x1bW4yMjEsMjIwfSZxdW90OywmcXVvdDtTZWN0aW9uMS9tYXBwaW5nX2J1ZGdldC1UQk9fcmVsYXRpdmUvVHlwZSBnZXdpanppZ2Que0NvbHVtbjIyMiwyMjF9JnF1b3Q7LCZxdW90O1NlY3Rpb24xL21hcHBpbmdfYnVkZ2V0LVRCT19yZWxhdGl2ZS9UeXBlIGdld2lqemlnZC57Q29sdW1uMjIzLDIyMn0mcXVvdDssJnF1b3Q7U2VjdGlvbjEvbWFwcGluZ19idWRnZXQtVEJPX3JlbGF0aXZlL1R5cGUgZ2V3aWp6aWdkLntDb2x1bW4yMjQsMjIzfSZxdW90OywmcXVvdDtTZWN0aW9uMS9tYXBwaW5nX2J1ZGdldC1UQk9fcmVsYXRpdmUvVHlwZSBnZXdpanppZ2Que0NvbHVtbjIyNSwyMjR9JnF1b3Q7LCZxdW90O1NlY3Rpb24xL21hcHBpbmdfYnVkZ2V0LVRCT19yZWxhdGl2ZS9UeXBlIGdld2lqemlnZC57Q29sdW1uMjI2LDIyNX0mcXVvdDssJnF1b3Q7U2VjdGlvbjEvbWFwcGluZ19idWRnZXQtVEJPX3JlbGF0aXZlL1R5cGUgZ2V3aWp6aWdkLntDb2x1bW4yMjcsMjI2fSZxdW90OywmcXVvdDtTZWN0aW9uMS9tYXBwaW5nX2J1ZGdldC1UQk9fcmVsYXRpdmUvVHlwZSBnZXdpanppZ2Que0NvbHVtbjIyOCwyMjd9JnF1b3Q7LCZxdW90O1NlY3Rpb24xL21hcHBpbmdfYnVkZ2V0LVRCT19yZWxhdGl2ZS9UeXBlIGdld2lqemlnZC57Q29sdW1uMjI5LDIyOH0mcXVvdDssJnF1b3Q7U2VjdGlvbjEvbWFwcGluZ19idWRnZXQtVEJPX3JlbGF0aXZlL1R5cGUgZ2V3aWp6aWdkLntDb2x1bW4yMzAsMjI5fSZxdW90OywmcXVvdDtTZWN0aW9uMS9tYXBwaW5nX2J1ZGdldC1UQk9fcmVsYXRpdmUvVHlwZSBnZXdpanppZ2Que0NvbHVtbjIzMSwyMzB9JnF1b3Q7LCZxdW90O1NlY3Rpb24xL21hcHBpbmdfYnVkZ2V0LVRCT19yZWxhdGl2ZS9UeXBlIGdld2lqemlnZC57Q29sdW1uMjMyLDIzMX0mcXVvdDssJnF1b3Q7U2VjdGlvbjEvbWFwcGluZ19idWRnZXQtVEJPX3JlbGF0aXZlL1R5cGUgZ2V3aWp6aWdkLntDb2x1bW4yMzMsMjMyfSZxdW90OywmcXVvdDtTZWN0aW9uMS9tYXBwaW5nX2J1ZGdldC1UQk9fcmVsYXRpdmUvVHlwZSBnZXdpanppZ2Que0NvbHVtbjIzNCwyMzN9JnF1b3Q7LCZxdW90O1NlY3Rpb24xL21hcHBpbmdfYnVkZ2V0LVRCT19yZWxhdGl2ZS9UeXBlIGdld2lqemlnZC57Q29sdW1uMjM1LDIzNH0mcXVvdDssJnF1b3Q7U2VjdGlvbjEvbWFwcGluZ19idWRnZXQtVEJPX3JlbGF0aXZlL1R5cGUgZ2V3aWp6aWdkLntDb2x1bW4yMzYsMjM1fSZxdW90OywmcXVvdDtTZWN0aW9uMS9tYXBwaW5nX2J1ZGdldC1UQk9fcmVsYXRpdmUvVHlwZSBnZXdpanppZ2Que0NvbHVtbjIzNywyMzZ9JnF1b3Q7LCZxdW90O1NlY3Rpb24xL21hcHBpbmdfYnVkZ2V0LVRCT19yZWxhdGl2ZS9UeXBlIGdld2lqemlnZC57Q29sdW1uMjM4LDIzN30mcXVvdDssJnF1b3Q7U2VjdGlvbjEvbWFwcGluZ19idWRnZXQtVEJPX3JlbGF0aXZlL1R5cGUgZ2V3aWp6aWdkLntDb2x1bW4yMzksMjM4fSZxdW90OywmcXVvdDtTZWN0aW9uMS9tYXBwaW5nX2J1ZGdldC1UQk9fcmVsYXRpdmUvVHlwZSBnZXdpanppZ2Que0NvbHVtbjI0MCwyMzl9JnF1b3Q7LCZxdW90O1NlY3Rpb24xL21hcHBpbmdfYnVkZ2V0LVRCT19yZWxhdGl2ZS9UeXBlIGdld2lqemlnZC57Q29sdW1uMjQxLDI0MH0mcXVvdDssJnF1b3Q7U2VjdGlvbjEvbWFwcGluZ19idWRnZXQtVEJPX3JlbGF0aXZlL1R5cGUgZ2V3aWp6aWdkLntDb2x1bW4yNDIsMjQxfSZxdW90OywmcXVvdDtTZWN0aW9uMS9tYXBwaW5nX2J1ZGdldC1UQk9fcmVsYXRpdmUvVHlwZSBnZXdpanppZ2Que0NvbHVtbjI0MywyNDJ9JnF1b3Q7LCZxdW90O1NlY3Rpb24xL21hcHBpbmdfYnVkZ2V0LVRCT19yZWxhdGl2ZS9UeXBlIGdld2lqemlnZC57Q29sdW1uMjQ0LDI0M30mcXVvdDssJnF1b3Q7U2VjdGlvbjEvbWFwcGluZ19idWRnZXQtVEJPX3JlbGF0aXZlL1R5cGUgZ2V3aWp6aWdkLntDb2x1bW4yNDUsMjQ0fSZxdW90OywmcXVvdDtTZWN0aW9uMS9tYXBwaW5nX2J1ZGdldC1UQk9fcmVsYXRpdmUvVHlwZSBnZXdpanppZ2Que0NvbHVtbjI0NiwyNDV9JnF1b3Q7LCZxdW90O1NlY3Rpb24xL21hcHBpbmdfYnVkZ2V0LVRCT19yZWxhdGl2ZS9UeXBlIGdld2lqemlnZC57Q29sdW1uMjQ3LDI0Nn0mcXVvdDssJnF1b3Q7U2VjdGlvbjEvbWFwcGluZ19idWRnZXQtVEJPX3JlbGF0aXZlL1R5cGUgZ2V3aWp6aWdkLntDb2x1bW4yNDgsMjQ3fSZxdW90OywmcXVvdDtTZWN0aW9uMS9tYXBwaW5nX2J1ZGdldC1UQk9fcmVsYXRpdmUvVHlwZSBnZXdpanppZ2Que0NvbHVtbjI0OSwyNDh9JnF1b3Q7LCZxdW90O1NlY3Rpb24xL21hcHBpbmdfYnVkZ2V0LVRCT19yZWxhdGl2ZS9UeXBlIGdld2lqemlnZC57Q29sdW1uMjUwLDI0OX0mcXVvdDssJnF1b3Q7U2VjdGlvbjEvbWFwcGluZ19idWRnZXQtVEJPX3JlbGF0aXZlL1R5cGUgZ2V3aWp6aWdkLntDb2x1bW4yNTEsMjUwfSZxdW90OywmcXVvdDtTZWN0aW9uMS9tYXBwaW5nX2J1ZGdldC1UQk9fcmVsYXRpdmUvVHlwZSBnZXdpanppZ2Que0NvbHVtbjI1MiwyNTF9JnF1b3Q7LCZxdW90O1NlY3Rpb24xL21hcHBpbmdfYnVkZ2V0LVRCT19yZWxhdGl2ZS9UeXBlIGdld2lqemlnZC57Q29sdW1uMjUzLDI1Mn0mcXVvdDssJnF1b3Q7U2VjdGlvbjEvbWFwcGluZ19idWRnZXQtVEJPX3JlbGF0aXZlL1R5cGUgZ2V3aWp6aWdkLntDb2x1bW4yNTQsMjUzfSZxdW90OywmcXVvdDtTZWN0aW9uMS9tYXBwaW5nX2J1ZGdldC1UQk9fcmVsYXRpdmUvVHlwZSBnZXdpanppZ2Que0NvbHVtbjI1NSwyNTR9JnF1b3Q7LCZxdW90O1NlY3Rpb24xL21hcHBpbmdfYnVkZ2V0LVRCT19yZWxhdGl2ZS9UeXBlIGdld2lqemlnZC57Q29sdW1uMjU2LDI1NX0mcXVvdDssJnF1b3Q7U2VjdGlvbjEvbWFwcGluZ19idWRnZXQtVEJPX3JlbGF0aXZlL1R5cGUgZ2V3aWp6aWdkLntDb2x1bW4yNTcsMjU2fSZxdW90OywmcXVvdDtTZWN0aW9uMS9tYXBwaW5nX2J1ZGdldC1UQk9fcmVsYXRpdmUvVHlwZSBnZXdpanppZ2Que0NvbHVtbjI1OCwyNTd9JnF1b3Q7LCZxdW90O1NlY3Rpb24xL21hcHBpbmdfYnVkZ2V0LVRCT19yZWxhdGl2ZS9UeXBlIGdld2lqemlnZC57Q29sdW1uMjU5LDI1OH0mcXVvdDssJnF1b3Q7U2VjdGlvbjEvbWFwcGluZ19idWRnZXQtVEJPX3JlbGF0aXZlL1R5cGUgZ2V3aWp6aWdkLntDb2x1bW4yNjAsMjU5fSZxdW90OywmcXVvdDtTZWN0aW9uMS9tYXBwaW5nX2J1ZGdldC1UQk9fcmVsYXRpdmUvVHlwZSBnZXdpanppZ2Que0NvbHVtbjI2MSwyNjB9JnF1b3Q7LCZxdW90O1NlY3Rpb24xL21hcHBpbmdfYnVkZ2V0LVRCT19yZWxhdGl2ZS9UeXBlIGdld2lqemlnZC57Q29sdW1uMjYyLDI2MX0mcXVvdDssJnF1b3Q7U2VjdGlvbjEvbWFwcGluZ19idWRnZXQtVEJPX3JlbGF0aXZlL1R5cGUgZ2V3aWp6aWdkLntDb2x1bW4yNjMsMjYyfSZxdW90OywmcXVvdDtTZWN0aW9uMS9tYXBwaW5nX2J1ZGdldC1UQk9fcmVsYXRpdmUvVHlwZSBnZXdpanppZ2Que0NvbHVtbjI2NCwyNjN9JnF1b3Q7LCZxdW90O1NlY3Rpb24xL21hcHBpbmdfYnVkZ2V0LVRCT19yZWxhdGl2ZS9UeXBlIGdld2lqemlnZC57Q29sdW1uMjY1LDI2NH0mcXVvdDssJnF1b3Q7U2VjdGlvbjEvbWFwcGluZ19idWRnZXQtVEJPX3JlbGF0aXZlL1R5cGUgZ2V3aWp6aWdkLntDb2x1bW4yNjYsMjY1fSZxdW90OywmcXVvdDtTZWN0aW9uMS9tYXBwaW5nX2J1ZGdldC1UQk9fcmVsYXRpdmUvVHlwZSBnZXdpanppZ2Que0NvbHVtbjI2NywyNjZ9JnF1b3Q7LCZxdW90O1NlY3Rpb24xL21hcHBpbmdfYnVkZ2V0LVRCT19yZWxhdGl2ZS9UeXBlIGdld2lqemlnZC57Q29sdW1uMjY4LDI2N30mcXVvdDssJnF1b3Q7U2VjdGlvbjEvbWFwcGluZ19idWRnZXQtVEJPX3JlbGF0aXZlL1R5cGUgZ2V3aWp6aWdkLntDb2x1bW4yNjksMjY4fSZxdW90OywmcXVvdDtTZWN0aW9uMS9tYXBwaW5nX2J1ZGdldC1UQk9fcmVsYXRpdmUvVHlwZSBnZXdpanppZ2Que0NvbHVtbjI3MCwyNjl9JnF1b3Q7LCZxdW90O1NlY3Rpb24xL21hcHBpbmdfYnVkZ2V0LVRCT19yZWxhdGl2ZS9UeXBlIGdld2lqemlnZC57Q29sdW1uMjcxLDI3MH0mcXVvdDssJnF1b3Q7U2VjdGlvbjEvbWFwcGluZ19idWRnZXQtVEJPX3JlbGF0aXZlL1R5cGUgZ2V3aWp6aWdkLntDb2x1bW4yNzIsMjcxfSZxdW90OywmcXVvdDtTZWN0aW9uMS9tYXBwaW5nX2J1ZGdldC1UQk9fcmVsYXRpdmUvVHlwZSBnZXdpanppZ2Que0NvbHVtbjI3MywyNzJ9JnF1b3Q7LCZxdW90O1NlY3Rpb24xL21hcHBpbmdfYnVkZ2V0LVRCT19yZWxhdGl2ZS9UeXBlIGdld2lqemlnZC57Q29sdW1uMjc0LDI3M30mcXVvdDssJnF1b3Q7U2VjdGlvbjEvbWFwcGluZ19idWRnZXQtVEJPX3JlbGF0aXZlL1R5cGUgZ2V3aWp6aWdkLntDb2x1bW4yNzUsMjc0fSZxdW90OywmcXVvdDtTZWN0aW9uMS9tYXBwaW5nX2J1ZGdldC1UQk9fcmVsYXRpdmUvVHlwZSBnZXdpanppZ2Que0NvbHVtbjI3NiwyNzV9JnF1b3Q7LCZxdW90O1NlY3Rpb24xL21hcHBpbmdfYnVkZ2V0LVRCT19yZWxhdGl2ZS9UeXBlIGdld2lqemlnZC57Q29sdW1uMjc3LDI3Nn0mcXVvdDssJnF1b3Q7U2VjdGlvbjEvbWFwcGluZ19idWRnZXQtVEJPX3JlbGF0aXZlL1R5cGUgZ2V3aWp6aWdkLntDb2x1bW4yNzgsMjc3fSZxdW90OywmcXVvdDtTZWN0aW9uMS9tYXBwaW5nX2J1ZGdldC1UQk9fcmVsYXRpdmUvVHlwZSBnZXdpanppZ2Que0NvbHVtbjI3OSwyNzh9JnF1b3Q7LCZxdW90O1NlY3Rpb24xL21hcHBpbmdfYnVkZ2V0LVRCT19yZWxhdGl2ZS9UeXBlIGdld2lqemlnZC57Q29sdW1uMjgwLDI3OX0mcXVvdDssJnF1b3Q7U2VjdGlvbjEvbWFwcGluZ19idWRnZXQtVEJPX3JlbGF0aXZlL1R5cGUgZ2V3aWp6aWdkLntDb2x1bW4yODEsMjgwfSZxdW90OywmcXVvdDtTZWN0aW9uMS9tYXBwaW5nX2J1ZGdldC1UQk9fcmVsYXRpdmUvVHlwZSBnZXdpanppZ2Que0NvbHVtbjI4MiwyODF9JnF1b3Q7LCZxdW90O1NlY3Rpb24xL21hcHBpbmdfYnVkZ2V0LVRCT19yZWxhdGl2ZS9UeXBlIGdld2lqemlnZC57Q29sdW1uMjgzLDI4Mn0mcXVvdDssJnF1b3Q7U2VjdGlvbjEvbWFwcGluZ19idWRnZXQtVEJPX3JlbGF0aXZlL1R5cGUgZ2V3aWp6aWdkLntDb2x1bW4yODQsMjgzfSZxdW90OywmcXVvdDtTZWN0aW9uMS9tYXBwaW5nX2J1ZGdldC1UQk9fcmVsYXRpdmUvVHlwZSBnZXdpanppZ2Que0NvbHVtbjI4NSwyODR9JnF1b3Q7LCZxdW90O1NlY3Rpb24xL21hcHBpbmdfYnVkZ2V0LVRCT19yZWxhdGl2ZS9UeXBlIGdld2lqemlnZC57Q29sdW1uMjg2LDI4NX0mcXVvdDssJnF1b3Q7U2VjdGlvbjEvbWFwcGluZ19idWRnZXQtVEJPX3JlbGF0aXZlL1R5cGUgZ2V3aWp6aWdkLntDb2x1bW4yODcsMjg2fSZxdW90OywmcXVvdDtTZWN0aW9uMS9tYXBwaW5nX2J1ZGdldC1UQk9fcmVsYXRpdmUvVHlwZSBnZXdpanppZ2Que0NvbHVtbjI4OCwyODd9JnF1b3Q7LCZxdW90O1NlY3Rpb24xL21hcHBpbmdfYnVkZ2V0LVRCT19yZWxhdGl2ZS9UeXBlIGdld2lqemlnZC57Q29sdW1uMjg5LDI4OH0mcXVvdDssJnF1b3Q7U2VjdGlvbjEvbWFwcGluZ19idWRnZXQtVEJPX3JlbGF0aXZlL1R5cGUgZ2V3aWp6aWdkLntDb2x1bW4yOTAsMjg5fSZxdW90OywmcXVvdDtTZWN0aW9uMS9tYXBwaW5nX2J1ZGdldC1UQk9fcmVsYXRpdmUvVHlwZSBnZXdpanppZ2Que0NvbHVtbjI5MSwyOTB9JnF1b3Q7LCZxdW90O1NlY3Rpb24xL21hcHBpbmdfYnVkZ2V0LVRCT19yZWxhdGl2ZS9UeXBlIGdld2lqemlnZC57Q29sdW1uMjkyLDI5MX0mcXVvdDssJnF1b3Q7U2VjdGlvbjEvbWFwcGluZ19idWRnZXQtVEJPX3JlbGF0aXZlL1R5cGUgZ2V3aWp6aWdkLntDb2x1bW4yOTMsMjkyfSZxdW90OywmcXVvdDtTZWN0aW9uMS9tYXBwaW5nX2J1ZGdldC1UQk9fcmVsYXRpdmUvVHlwZSBnZXdpanppZ2Que0NvbHVtbjI5NCwyOTN9JnF1b3Q7LCZxdW90O1NlY3Rpb24xL21hcHBpbmdfYnVkZ2V0LVRCT19yZWxhdGl2ZS9UeXBlIGdld2lqemlnZC57Q29sdW1uMjk1LDI5NH0mcXVvdDssJnF1b3Q7U2VjdGlvbjEvbWFwcGluZ19idWRnZXQtVEJPX3JlbGF0aXZlL1R5cGUgZ2V3aWp6aWdkLntDb2x1bW4yOTYsMjk1fSZxdW90OywmcXVvdDtTZWN0aW9uMS9tYXBwaW5nX2J1ZGdldC1UQk9fcmVsYXRpdmUvVHlwZSBnZXdpanppZ2Que0NvbHVtbjI5NywyOTZ9JnF1b3Q7LCZxdW90O1NlY3Rpb24xL21hcHBpbmdfYnVkZ2V0LVRCT19yZWxhdGl2ZS9UeXBlIGdld2lqemlnZC57Q29sdW1uMjk4LDI5N30mcXVvdDssJnF1b3Q7U2VjdGlvbjEvbWFwcGluZ19idWRnZXQtVEJPX3JlbGF0aXZlL1R5cGUgZ2V3aWp6aWdkLntDb2x1bW4yOTksMjk4fSZxdW90OywmcXVvdDtTZWN0aW9uMS9tYXBwaW5nX2J1ZGdldC1UQk9fcmVsYXRpdmUvVHlwZSBnZXdpanppZ2Que0NvbHVtbjMwMCwyOTl9JnF1b3Q7LCZxdW90O1NlY3Rpb24xL21hcHBpbmdfYnVkZ2V0LVRCT19yZWxhdGl2ZS9UeXBlIGdld2lqemlnZC57Q29sdW1uMzAxLDMwMH0mcXVvdDssJnF1b3Q7U2VjdGlvbjEvbWFwcGluZ19idWRnZXQtVEJPX3JlbGF0aXZlL1R5cGUgZ2V3aWp6aWdkLntDb2x1bW4zMDIsMzAxfSZxdW90OywmcXVvdDtTZWN0aW9uMS9tYXBwaW5nX2J1ZGdldC1UQk9fcmVsYXRpdmUvVHlwZSBnZXdpanppZ2Que0NvbHVtbjMwMywzMDJ9JnF1b3Q7LCZxdW90O1NlY3Rpb24xL21hcHBpbmdfYnVkZ2V0LVRCT19yZWxhdGl2ZS9UeXBlIGdld2lqemlnZC57Q29sdW1uMzA0LDMwM30mcXVvdDssJnF1b3Q7U2VjdGlvbjEvbWFwcGluZ19idWRnZXQtVEJPX3JlbGF0aXZlL1R5cGUgZ2V3aWp6aWdkLntDb2x1bW4zMDUsMzA0fSZxdW90OywmcXVvdDtTZWN0aW9uMS9tYXBwaW5nX2J1ZGdldC1UQk9fcmVsYXRpdmUvVHlwZSBnZXdpanppZ2Que0NvbHVtbjMwNiwzMDV9JnF1b3Q7LCZxdW90O1NlY3Rpb24xL21hcHBpbmdfYnVkZ2V0LVRCT19yZWxhdGl2ZS9UeXBlIGdld2lqemlnZC57Q29sdW1uMzA3LDMwNn0mcXVvdDssJnF1b3Q7U2VjdGlvbjEvbWFwcGluZ19idWRnZXQtVEJPX3JlbGF0aXZlL1R5cGUgZ2V3aWp6aWdkLntDb2x1bW4zMDgsMzA3fSZxdW90OywmcXVvdDtTZWN0aW9uMS9tYXBwaW5nX2J1ZGdldC1UQk9fcmVsYXRpdmUvVHlwZSBnZXdpanppZ2Que0NvbHVtbjMwOSwzMDh9JnF1b3Q7LCZxdW90O1NlY3Rpb24xL21hcHBpbmdfYnVkZ2V0LVRCT19yZWxhdGl2ZS9UeXBlIGdld2lqemlnZC57Q29sdW1uMzEwLDMwOX0mcXVvdDssJnF1b3Q7U2VjdGlvbjEvbWFwcGluZ19idWRnZXQtVEJPX3JlbGF0aXZlL1R5cGUgZ2V3aWp6aWdkLntDb2x1bW4zMTEsMzEwfSZxdW90OywmcXVvdDtTZWN0aW9uMS9tYXBwaW5nX2J1ZGdldC1UQk9fcmVsYXRpdmUvVHlwZSBnZXdpanppZ2Que0NvbHVtbjMxMiwzMTF9JnF1b3Q7LCZxdW90O1NlY3Rpb24xL21hcHBpbmdfYnVkZ2V0LVRCT19yZWxhdGl2ZS9UeXBlIGdld2lqemlnZC57Q29sdW1uMzEzLDMxMn0mcXVvdDssJnF1b3Q7U2VjdGlvbjEvbWFwcGluZ19idWRnZXQtVEJPX3JlbGF0aXZlL1R5cGUgZ2V3aWp6aWdkLntDb2x1bW4zMTQsMzEzfSZxdW90OywmcXVvdDtTZWN0aW9uMS9tYXBwaW5nX2J1ZGdldC1UQk9fcmVsYXRpdmUvVHlwZSBnZXdpanppZ2Que0NvbHVtbjMxNSwzMTR9JnF1b3Q7LCZxdW90O1NlY3Rpb24xL21hcHBpbmdfYnVkZ2V0LVRCT19yZWxhdGl2ZS9UeXBlIGdld2lqemlnZC57Q29sdW1uMzE2LDMxNX0mcXVvdDtdLCZxdW90O0NvbHVtbkNvdW50JnF1b3Q7OjMxNiwmcXVvdDtLZXlDb2x1bW5OYW1lcyZxdW90OzpbXSwmcXVvdDtDb2x1bW5JZGVudGl0aWVzJnF1b3Q7OlsmcXVvdDtTZWN0aW9uMS9tYXBwaW5nX2J1ZGdldC1UQk9fcmVsYXRpdmUvVHlwZSBnZXdpanppZ2Que0NvbHVtbjEsMH0mcXVvdDssJnF1b3Q7U2VjdGlvbjEvbWFwcGluZ19idWRnZXQtVEJPX3JlbGF0aXZlL1R5cGUgZ2V3aWp6aWdkLntDb2x1bW4yLDF9JnF1b3Q7LCZxdW90O1NlY3Rpb24xL21hcHBpbmdfYnVkZ2V0LVRCT19yZWxhdGl2ZS9UeXBlIGdld2lqemlnZC57Q29sdW1uMywyfSZxdW90OywmcXVvdDtTZWN0aW9uMS9tYXBwaW5nX2J1ZGdldC1UQk9fcmVsYXRpdmUvVHlwZSBnZXdpanppZ2Que0NvbHVtbjQsM30mcXVvdDssJnF1b3Q7U2VjdGlvbjEvbWFwcGluZ19idWRnZXQtVEJPX3JlbGF0aXZlL1R5cGUgZ2V3aWp6aWdkLntDb2x1bW41LDR9JnF1b3Q7LCZxdW90O1NlY3Rpb24xL21hcHBpbmdfYnVkZ2V0LVRCT19yZWxhdGl2ZS9UeXBlIGdld2lqemlnZC57Q29sdW1uNiw1fSZxdW90OywmcXVvdDtTZWN0aW9uMS9tYXBwaW5nX2J1ZGdldC1UQk9fcmVsYXRpdmUvVHlwZSBnZXdpanppZ2Que0NvbHVtbjcsNn0mcXVvdDssJnF1b3Q7U2VjdGlvbjEvbWFwcGluZ19idWRnZXQtVEJPX3JlbGF0aXZlL1R5cGUgZ2V3aWp6aWdkLntDb2x1bW44LDd9JnF1b3Q7LCZxdW90O1NlY3Rpb24xL21hcHBpbmdfYnVkZ2V0LVRCT19yZWxhdGl2ZS9UeXBlIGdld2lqemlnZC57Q29sdW1uOSw4fSZxdW90OywmcXVvdDtTZWN0aW9uMS9tYXBwaW5nX2J1ZGdldC1UQk9fcmVsYXRpdmUvVHlwZSBnZXdpanppZ2Que0NvbHVtbjEwLDl9JnF1b3Q7LCZxdW90O1NlY3Rpb24xL21hcHBpbmdfYnVkZ2V0LVRCT19yZWxhdGl2ZS9UeXBlIGdld2lqemlnZC57Q29sdW1uMTEsMTB9JnF1b3Q7LCZxdW90O1NlY3Rpb24xL21hcHBpbmdfYnVkZ2V0LVRCT19yZWxhdGl2ZS9UeXBlIGdld2lqemlnZC57Q29sdW1uMTIsMTF9JnF1b3Q7LCZxdW90O1NlY3Rpb24xL21hcHBpbmdfYnVkZ2V0LVRCT19yZWxhdGl2ZS9UeXBlIGdld2lqemlnZC57Q29sdW1uMTMsMTJ9JnF1b3Q7LCZxdW90O1NlY3Rpb24xL21hcHBpbmdfYnVkZ2V0LVRCT19yZWxhdGl2ZS9UeXBlIGdld2lqemlnZC57Q29sdW1uMTQsMTN9JnF1b3Q7LCZxdW90O1NlY3Rpb24xL21hcHBpbmdfYnVkZ2V0LVRCT19yZWxhdGl2ZS9UeXBlIGdld2lqemlnZC57Q29sdW1uMTUsMTR9JnF1b3Q7LCZxdW90O1NlY3Rpb24xL21hcHBpbmdfYnVkZ2V0LVRCT19yZWxhdGl2ZS9UeXBlIGdld2lqemlnZC57Q29sdW1uMTYsMTV9JnF1b3Q7LCZxdW90O1NlY3Rpb24xL21hcHBpbmdfYnVkZ2V0LVRCT19yZWxhdGl2ZS9UeXBlIGdld2lqemlnZC57Q29sdW1uMTcsMTZ9JnF1b3Q7LCZxdW90O1NlY3Rpb24xL21hcHBpbmdfYnVkZ2V0LVRCT19yZWxhdGl2ZS9UeXBlIGdld2lqemlnZC57Q29sdW1uMTgsMTd9JnF1b3Q7LCZxdW90O1NlY3Rpb24xL21hcHBpbmdfYnVkZ2V0LVRCT19yZWxhdGl2ZS9UeXBlIGdld2lqemlnZC57Q29sdW1uMTksMTh9JnF1b3Q7LCZxdW90O1NlY3Rpb24xL21hcHBpbmdfYnVkZ2V0LVRCT19yZWxhdGl2ZS9UeXBlIGdld2lqemlnZC57Q29sdW1uMjAsMTl9JnF1b3Q7LCZxdW90O1NlY3Rpb24xL21hcHBpbmdfYnVkZ2V0LVRCT19yZWxhdGl2ZS9UeXBlIGdld2lqemlnZC57Q29sdW1uMjEsMjB9JnF1b3Q7LCZxdW90O1NlY3Rpb24xL21hcHBpbmdfYnVkZ2V0LVRCT19yZWxhdGl2ZS9UeXBlIGdld2lqemlnZC57Q29sdW1uMjIsMjF9JnF1b3Q7LCZxdW90O1NlY3Rpb24xL21hcHBpbmdfYnVkZ2V0LVRCT19yZWxhdGl2ZS9UeXBlIGdld2lqemlnZC57Q29sdW1uMjMsMjJ9JnF1b3Q7LCZxdW90O1NlY3Rpb24xL21hcHBpbmdfYnVkZ2V0LVRCT19yZWxhdGl2ZS9UeXBlIGdld2lqemlnZC57Q29sdW1uMjQsMjN9JnF1b3Q7LCZxdW90O1NlY3Rpb24xL21hcHBpbmdfYnVkZ2V0LVRCT19yZWxhdGl2ZS9UeXBlIGdld2lqemlnZC57Q29sdW1uMjUsMjR9JnF1b3Q7LCZxdW90O1NlY3Rpb24xL21hcHBpbmdfYnVkZ2V0LVRCT19yZWxhdGl2ZS9UeXBlIGdld2lqemlnZC57Q29sdW1uMjYsMjV9JnF1b3Q7LCZxdW90O1NlY3Rpb24xL21hcHBpbmdfYnVkZ2V0LVRCT19yZWxhdGl2ZS9UeXBlIGdld2lqemlnZC57Q29sdW1uMjcsMjZ9JnF1b3Q7LCZxdW90O1NlY3Rpb24xL21hcHBpbmdfYnVkZ2V0LVRCT19yZWxhdGl2ZS9UeXBlIGdld2lqemlnZC57Q29sdW1uMjgsMjd9JnF1b3Q7LCZxdW90O1NlY3Rpb24xL21hcHBpbmdfYnVkZ2V0LVRCT19yZWxhdGl2ZS9UeXBlIGdld2lqemlnZC57Q29sdW1uMjksMjh9JnF1b3Q7LCZxdW90O1NlY3Rpb24xL21hcHBpbmdfYnVkZ2V0LVRCT19yZWxhdGl2ZS9UeXBlIGdld2lqemlnZC57Q29sdW1uMzAsMjl9JnF1b3Q7LCZxdW90O1NlY3Rpb24xL21hcHBpbmdfYnVkZ2V0LVRCT19yZWxhdGl2ZS9UeXBlIGdld2lqemlnZC57Q29sdW1uMzEsMzB9JnF1b3Q7LCZxdW90O1NlY3Rpb24xL21hcHBpbmdfYnVkZ2V0LVRCT19yZWxhdGl2ZS9UeXBlIGdld2lqemlnZC57Q29sdW1uMzIsMzF9JnF1b3Q7LCZxdW90O1NlY3Rpb24xL21hcHBpbmdfYnVkZ2V0LVRCT19yZWxhdGl2ZS9UeXBlIGdld2lqemlnZC57Q29sdW1uMzMsMzJ9JnF1b3Q7LCZxdW90O1NlY3Rpb24xL21hcHBpbmdfYnVkZ2V0LVRCT19yZWxhdGl2ZS9UeXBlIGdld2lqemlnZC57Q29sdW1uMzQsMzN9JnF1b3Q7LCZxdW90O1NlY3Rpb24xL21hcHBpbmdfYnVkZ2V0LVRCT19yZWxhdGl2ZS9UeXBlIGdld2lqemlnZC57Q29sdW1uMzUsMzR9JnF1b3Q7LCZxdW90O1NlY3Rpb24xL21hcHBpbmdfYnVkZ2V0LVRCT19yZWxhdGl2ZS9UeXBlIGdld2lqemlnZC57Q29sdW1uMzYsMzV9JnF1b3Q7LCZxdW90O1NlY3Rpb24xL21hcHBpbmdfYnVkZ2V0LVRCT19yZWxhdGl2ZS9UeXBlIGdld2lqemlnZC57Q29sdW1uMzcsMzZ9JnF1b3Q7LCZxdW90O1NlY3Rpb24xL21hcHBpbmdfYnVkZ2V0LVRCT19yZWxhdGl2ZS9UeXBlIGdld2lqemlnZC57Q29sdW1uMzgsMzd9JnF1b3Q7LCZxdW90O1NlY3Rpb24xL21hcHBpbmdfYnVkZ2V0LVRCT19yZWxhdGl2ZS9UeXBlIGdld2lqemlnZC57Q29sdW1uMzksMzh9JnF1b3Q7LCZxdW90O1NlY3Rpb24xL21hcHBpbmdfYnVkZ2V0LVRCT19yZWxhdGl2ZS9UeXBlIGdld2lqemlnZC57Q29sdW1uNDAsMzl9JnF1b3Q7LCZxdW90O1NlY3Rpb24xL21hcHBpbmdfYnVkZ2V0LVRCT19yZWxhdGl2ZS9UeXBlIGdld2lqemlnZC57Q29sdW1uNDEsNDB9JnF1b3Q7LCZxdW90O1NlY3Rpb24xL21hcHBpbmdfYnVkZ2V0LVRCT19yZWxhdGl2ZS9UeXBlIGdld2lqemlnZC57Q29sdW1uNDIsNDF9JnF1b3Q7LCZxdW90O1NlY3Rpb24xL21hcHBpbmdfYnVkZ2V0LVRCT19yZWxhdGl2ZS9UeXBlIGdld2lqemlnZC57Q29sdW1uNDMsNDJ9JnF1b3Q7LCZxdW90O1NlY3Rpb24xL21hcHBpbmdfYnVkZ2V0LVRCT19yZWxhdGl2ZS9UeXBlIGdld2lqemlnZC57Q29sdW1uNDQsNDN9JnF1b3Q7LCZxdW90O1NlY3Rpb24xL21hcHBpbmdfYnVkZ2V0LVRCT19yZWxhdGl2ZS9UeXBlIGdld2lqemlnZC57Q29sdW1uNDUsNDR9JnF1b3Q7LCZxdW90O1NlY3Rpb24xL21hcHBpbmdfYnVkZ2V0LVRCT19yZWxhdGl2ZS9UeXBlIGdld2lqemlnZC57Q29sdW1uNDYsNDV9JnF1b3Q7LCZxdW90O1NlY3Rpb24xL21hcHBpbmdfYnVkZ2V0LVRCT19yZWxhdGl2ZS9UeXBlIGdld2lqemlnZC57Q29sdW1uNDcsNDZ9JnF1b3Q7LCZxdW90O1NlY3Rpb24xL21hcHBpbmdfYnVkZ2V0LVRCT19yZWxhdGl2ZS9UeXBlIGdld2lqemlnZC57Q29sdW1uNDgsNDd9JnF1b3Q7LCZxdW90O1NlY3Rpb24xL21hcHBpbmdfYnVkZ2V0LVRCT19yZWxhdGl2ZS9UeXBlIGdld2lqemlnZC57Q29sdW1uNDksNDh9JnF1b3Q7LCZxdW90O1NlY3Rpb24xL21hcHBpbmdfYnVkZ2V0LVRCT19yZWxhdGl2ZS9UeXBlIGdld2lqemlnZC57Q29sdW1uNTAsNDl9JnF1b3Q7LCZxdW90O1NlY3Rpb24xL21hcHBpbmdfYnVkZ2V0LVRCT19yZWxhdGl2ZS9UeXBlIGdld2lqemlnZC57Q29sdW1uNTEsNTB9JnF1b3Q7LCZxdW90O1NlY3Rpb24xL21hcHBpbmdfYnVkZ2V0LVRCT19yZWxhdGl2ZS9UeXBlIGdld2lqemlnZC57Q29sdW1uNTIsNTF9JnF1b3Q7LCZxdW90O1NlY3Rpb24xL21hcHBpbmdfYnVkZ2V0LVRCT19yZWxhdGl2ZS9UeXBlIGdld2lqemlnZC57Q29sdW1uNTMsNTJ9JnF1b3Q7LCZxdW90O1NlY3Rpb24xL21hcHBpbmdfYnVkZ2V0LVRCT19yZWxhdGl2ZS9UeXBlIGdld2lqemlnZC57Q29sdW1uNTQsNTN9JnF1b3Q7LCZxdW90O1NlY3Rpb24xL21hcHBpbmdfYnVkZ2V0LVRCT19yZWxhdGl2ZS9UeXBlIGdld2lqemlnZC57Q29sdW1uNTUsNTR9JnF1b3Q7LCZxdW90O1NlY3Rpb24xL21hcHBpbmdfYnVkZ2V0LVRCT19yZWxhdGl2ZS9UeXBlIGdld2lqemlnZC57Q29sdW1uNTYsNTV9JnF1b3Q7LCZxdW90O1NlY3Rpb24xL21hcHBpbmdfYnVkZ2V0LVRCT19yZWxhdGl2ZS9UeXBlIGdld2lqemlnZC57Q29sdW1uNTcsNTZ9JnF1b3Q7LCZxdW90O1NlY3Rpb24xL21hcHBpbmdfYnVkZ2V0LVRCT19yZWxhdGl2ZS9UeXBlIGdld2lqemlnZC57Q29sdW1uNTgsNTd9JnF1b3Q7LCZxdW90O1NlY3Rpb24xL21hcHBpbmdfYnVkZ2V0LVRCT19yZWxhdGl2ZS9UeXBlIGdld2lqemlnZC57Q29sdW1uNTksNTh9JnF1b3Q7LCZxdW90O1NlY3Rpb24xL21hcHBpbmdfYnVkZ2V0LVRCT19yZWxhdGl2ZS9UeXBlIGdld2lqemlnZC57Q29sdW1uNjAsNTl9JnF1b3Q7LCZxdW90O1NlY3Rpb24xL21hcHBpbmdfYnVkZ2V0LVRCT19yZWxhdGl2ZS9UeXBlIGdld2lqemlnZC57Q29sdW1uNjEsNjB9JnF1b3Q7LCZxdW90O1NlY3Rpb24xL21hcHBpbmdfYnVkZ2V0LVRCT19yZWxhdGl2ZS9UeXBlIGdld2lqemlnZC57Q29sdW1uNjIsNjF9JnF1b3Q7LCZxdW90O1NlY3Rpb24xL21hcHBpbmdfYnVkZ2V0LVRCT19yZWxhdGl2ZS9UeXBlIGdld2lqemlnZC57Q29sdW1uNjMsNjJ9JnF1b3Q7LCZxdW90O1NlY3Rpb24xL21hcHBpbmdfYnVkZ2V0LVRCT19yZWxhdGl2ZS9UeXBlIGdld2lqemlnZC57Q29sdW1uNjQsNjN9JnF1b3Q7LCZxdW90O1NlY3Rpb24xL21hcHBpbmdfYnVkZ2V0LVRCT19yZWxhdGl2ZS9UeXBlIGdld2lqemlnZC57Q29sdW1uNjUsNjR9JnF1b3Q7LCZxdW90O1NlY3Rpb24xL21hcHBpbmdfYnVkZ2V0LVRCT19yZWxhdGl2ZS9UeXBlIGdld2lqemlnZC57Q29sdW1uNjYsNjV9JnF1b3Q7LCZxdW90O1NlY3Rpb24xL21hcHBpbmdfYnVkZ2V0LVRCT19yZWxhdGl2ZS9UeXBlIGdld2lqemlnZC57Q29sdW1uNjcsNjZ9JnF1b3Q7LCZxdW90O1NlY3Rpb24xL21hcHBpbmdfYnVkZ2V0LVRCT19yZWxhdGl2ZS9UeXBlIGdld2lqemlnZC57Q29sdW1uNjgsNjd9JnF1b3Q7LCZxdW90O1NlY3Rpb24xL21hcHBpbmdfYnVkZ2V0LVRCT19yZWxhdGl2ZS9UeXBlIGdld2lqemlnZC57Q29sdW1uNjksNjh9JnF1b3Q7LCZxdW90O1NlY3Rpb24xL21hcHBpbmdfYnVkZ2V0LVRCT19yZWxhdGl2ZS9UeXBlIGdld2lqemlnZC57Q29sdW1uNzAsNjl9JnF1b3Q7LCZxdW90O1NlY3Rpb24xL21hcHBpbmdfYnVkZ2V0LVRCT19yZWxhdGl2ZS9UeXBlIGdld2lqemlnZC57Q29sdW1uNzEsNzB9JnF1b3Q7LCZxdW90O1NlY3Rpb24xL21hcHBpbmdfYnVkZ2V0LVRCT19yZWxhdGl2ZS9UeXBlIGdld2lqemlnZC57Q29sdW1uNzIsNzF9JnF1b3Q7LCZxdW90O1NlY3Rpb24xL21hcHBpbmdfYnVkZ2V0LVRCT19yZWxhdGl2ZS9UeXBlIGdld2lqemlnZC57Q29sdW1uNzMsNzJ9JnF1b3Q7LCZxdW90O1NlY3Rpb24xL21hcHBpbmdfYnVkZ2V0LVRCT19yZWxhdGl2ZS9UeXBlIGdld2lqemlnZC57Q29sdW1uNzQsNzN9JnF1b3Q7LCZxdW90O1NlY3Rpb24xL21hcHBpbmdfYnVkZ2V0LVRCT19yZWxhdGl2ZS9UeXBlIGdld2lqemlnZC57Q29sdW1uNzUsNzR9JnF1b3Q7LCZxdW90O1NlY3Rpb24xL21hcHBpbmdfYnVkZ2V0LVRCT19yZWxhdGl2ZS9UeXBlIGdld2lqemlnZC57Q29sdW1uNzYsNzV9JnF1b3Q7LCZxdW90O1NlY3Rpb24xL21hcHBpbmdfYnVkZ2V0LVRCT19yZWxhdGl2ZS9UeXBlIGdld2lqemlnZC57Q29sdW1uNzcsNzZ9JnF1b3Q7LCZxdW90O1NlY3Rpb24xL21hcHBpbmdfYnVkZ2V0LVRCT19yZWxhdGl2ZS9UeXBlIGdld2lqemlnZC57Q29sdW1uNzgsNzd9JnF1b3Q7LCZxdW90O1NlY3Rpb24xL21hcHBpbmdfYnVkZ2V0LVRCT19yZWxhdGl2ZS9UeXBlIGdld2lqemlnZC57Q29sdW1uNzksNzh9JnF1b3Q7LCZxdW90O1NlY3Rpb24xL21hcHBpbmdfYnVkZ2V0LVRCT19yZWxhdGl2ZS9UeXBlIGdld2lqemlnZC57Q29sdW1uODAsNzl9JnF1b3Q7LCZxdW90O1NlY3Rpb24xL21hcHBpbmdfYnVkZ2V0LVRCT19yZWxhdGl2ZS9UeXBlIGdld2lqemlnZC57Q29sdW1uODEsODB9JnF1b3Q7LCZxdW90O1NlY3Rpb24xL21hcHBpbmdfYnVkZ2V0LVRCT19yZWxhdGl2ZS9UeXBlIGdld2lqemlnZC57Q29sdW1uODIsODF9JnF1b3Q7LCZxdW90O1NlY3Rpb24xL21hcHBpbmdfYnVkZ2V0LVRCT19yZWxhdGl2ZS9UeXBlIGdld2lqemlnZC57Q29sdW1uODMsODJ9JnF1b3Q7LCZxdW90O1NlY3Rpb24xL21hcHBpbmdfYnVkZ2V0LVRCT19yZWxhdGl2ZS9UeXBlIGdld2lqemlnZC57Q29sdW1uODQsODN9JnF1b3Q7LCZxdW90O1NlY3Rpb24xL21hcHBpbmdfYnVkZ2V0LVRCT19yZWxhdGl2ZS9UeXBlIGdld2lqemlnZC57Q29sdW1uODUsODR9JnF1b3Q7LCZxdW90O1NlY3Rpb24xL21hcHBpbmdfYnVkZ2V0LVRCT19yZWxhdGl2ZS9UeXBlIGdld2lqemlnZC57Q29sdW1uODYsODV9JnF1b3Q7LCZxdW90O1NlY3Rpb24xL21hcHBpbmdfYnVkZ2V0LVRCT19yZWxhdGl2ZS9UeXBlIGdld2lqemlnZC57Q29sdW1uODcsODZ9JnF1b3Q7LCZxdW90O1NlY3Rpb24xL21hcHBpbmdfYnVkZ2V0LVRCT19yZWxhdGl2ZS9UeXBlIGdld2lqemlnZC57Q29sdW1uODgsODd9JnF1b3Q7LCZxdW90O1NlY3Rpb24xL21hcHBpbmdfYnVkZ2V0LVRCT19yZWxhdGl2ZS9UeXBlIGdld2lqemlnZC57Q29sdW1uODksODh9JnF1b3Q7LCZxdW90O1NlY3Rpb24xL21hcHBpbmdfYnVkZ2V0LVRCT19yZWxhdGl2ZS9UeXBlIGdld2lqemlnZC57Q29sdW1uOTAsODl9JnF1b3Q7LCZxdW90O1NlY3Rpb24xL21hcHBpbmdfYnVkZ2V0LVRCT19yZWxhdGl2ZS9UeXBlIGdld2lqemlnZC57Q29sdW1uOTEsOTB9JnF1b3Q7LCZxdW90O1NlY3Rpb24xL21hcHBpbmdfYnVkZ2V0LVRCT19yZWxhdGl2ZS9UeXBlIGdld2lqemlnZC57Q29sdW1uOTIsOTF9JnF1b3Q7LCZxdW90O1NlY3Rpb24xL21hcHBpbmdfYnVkZ2V0LVRCT19yZWxhdGl2ZS9UeXBlIGdld2lqemlnZC57Q29sdW1uOTMsOTJ9JnF1b3Q7LCZxdW90O1NlY3Rpb24xL21hcHBpbmdfYnVkZ2V0LVRCT19yZWxhdGl2ZS9UeXBlIGdld2lqemlnZC57Q29sdW1uOTQsOTN9JnF1b3Q7LCZxdW90O1NlY3Rpb24xL21hcHBpbmdfYnVkZ2V0LVRCT19yZWxhdGl2ZS9UeXBlIGdld2lqemlnZC57Q29sdW1uOTUsOTR9JnF1b3Q7LCZxdW90O1NlY3Rpb24xL21hcHBpbmdfYnVkZ2V0LVRCT19yZWxhdGl2ZS9UeXBlIGdld2lqemlnZC57Q29sdW1uOTYsOTV9JnF1b3Q7LCZxdW90O1NlY3Rpb24xL21hcHBpbmdfYnVkZ2V0LVRCT19yZWxhdGl2ZS9UeXBlIGdld2lqemlnZC57Q29sdW1uOTcsOTZ9JnF1b3Q7LCZxdW90O1NlY3Rpb24xL21hcHBpbmdfYnVkZ2V0LVRCT19yZWxhdGl2ZS9UeXBlIGdld2lqemlnZC57Q29sdW1uOTgsOTd9JnF1b3Q7LCZxdW90O1NlY3Rpb24xL21hcHBpbmdfYnVkZ2V0LVRCT19yZWxhdGl2ZS9UeXBlIGdld2lqemlnZC57Q29sdW1uOTksOTh9JnF1b3Q7LCZxdW90O1NlY3Rpb24xL21hcHBpbmdfYnVkZ2V0LVRCT19yZWxhdGl2ZS9UeXBlIGdld2lqemlnZC57Q29sdW1uMTAwLDk5fSZxdW90OywmcXVvdDtTZWN0aW9uMS9tYXBwaW5nX2J1ZGdldC1UQk9fcmVsYXRpdmUvVHlwZSBnZXdpanppZ2Que0NvbHVtbjEwMSwxMDB9JnF1b3Q7LCZxdW90O1NlY3Rpb24xL21hcHBpbmdfYnVkZ2V0LVRCT19yZWxhdGl2ZS9UeXBlIGdld2lqemlnZC57Q29sdW1uMTAyLDEwMX0mcXVvdDssJnF1b3Q7U2VjdGlvbjEvbWFwcGluZ19idWRnZXQtVEJPX3JlbGF0aXZlL1R5cGUgZ2V3aWp6aWdkLntDb2x1bW4xMDMsMTAyfSZxdW90OywmcXVvdDtTZWN0aW9uMS9tYXBwaW5nX2J1ZGdldC1UQk9fcmVsYXRpdmUvVHlwZSBnZXdpanppZ2Que0NvbHVtbjEwNCwxMDN9JnF1b3Q7LCZxdW90O1NlY3Rpb24xL21hcHBpbmdfYnVkZ2V0LVRCT19yZWxhdGl2ZS9UeXBlIGdld2lqemlnZC57Q29sdW1uMTA1LDEwNH0mcXVvdDssJnF1b3Q7U2VjdGlvbjEvbWFwcGluZ19idWRnZXQtVEJPX3JlbGF0aXZlL1R5cGUgZ2V3aWp6aWdkLntDb2x1bW4xMDYsMTA1fSZxdW90OywmcXVvdDtTZWN0aW9uMS9tYXBwaW5nX2J1ZGdldC1UQk9fcmVsYXRpdmUvVHlwZSBnZXdpanppZ2Que0NvbHVtbjEwNywxMDZ9JnF1b3Q7LCZxdW90O1NlY3Rpb24xL21hcHBpbmdfYnVkZ2V0LVRCT19yZWxhdGl2ZS9UeXBlIGdld2lqemlnZC57Q29sdW1uMTA4LDEwN30mcXVvdDssJnF1b3Q7U2VjdGlvbjEvbWFwcGluZ19idWRnZXQtVEJPX3JlbGF0aXZlL1R5cGUgZ2V3aWp6aWdkLntDb2x1bW4xMDksMTA4fSZxdW90OywmcXVvdDtTZWN0aW9uMS9tYXBwaW5nX2J1ZGdldC1UQk9fcmVsYXRpdmUvVHlwZSBnZXdpanppZ2Que0NvbHVtbjExMCwxMDl9JnF1b3Q7LCZxdW90O1NlY3Rpb24xL21hcHBpbmdfYnVkZ2V0LVRCT19yZWxhdGl2ZS9UeXBlIGdld2lqemlnZC57Q29sdW1uMTExLDExMH0mcXVvdDssJnF1b3Q7U2VjdGlvbjEvbWFwcGluZ19idWRnZXQtVEJPX3JlbGF0aXZlL1R5cGUgZ2V3aWp6aWdkLntDb2x1bW4xMTIsMTExfSZxdW90OywmcXVvdDtTZWN0aW9uMS9tYXBwaW5nX2J1ZGdldC1UQk9fcmVsYXRpdmUvVHlwZSBnZXdpanppZ2Que0NvbHVtbjExMywxMTJ9JnF1b3Q7LCZxdW90O1NlY3Rpb24xL21hcHBpbmdfYnVkZ2V0LVRCT19yZWxhdGl2ZS9UeXBlIGdld2lqemlnZC57Q29sdW1uMTE0LDExM30mcXVvdDssJnF1b3Q7U2VjdGlvbjEvbWFwcGluZ19idWRnZXQtVEJPX3JlbGF0aXZlL1R5cGUgZ2V3aWp6aWdkLntDb2x1bW4xMTUsMTE0fSZxdW90OywmcXVvdDtTZWN0aW9uMS9tYXBwaW5nX2J1ZGdldC1UQk9fcmVsYXRpdmUvVHlwZSBnZXdpanppZ2Que0NvbHVtbjExNiwxMTV9JnF1b3Q7LCZxdW90O1NlY3Rpb24xL21hcHBpbmdfYnVkZ2V0LVRCT19yZWxhdGl2ZS9UeXBlIGdld2lqemlnZC57Q29sdW1uMTE3LDExNn0mcXVvdDssJnF1b3Q7U2VjdGlvbjEvbWFwcGluZ19idWRnZXQtVEJPX3JlbGF0aXZlL1R5cGUgZ2V3aWp6aWdkLntDb2x1bW4xMTgsMTE3fSZxdW90OywmcXVvdDtTZWN0aW9uMS9tYXBwaW5nX2J1ZGdldC1UQk9fcmVsYXRpdmUvVHlwZSBnZXdpanppZ2Que0NvbHVtbjExOSwxMTh9JnF1b3Q7LCZxdW90O1NlY3Rpb24xL21hcHBpbmdfYnVkZ2V0LVRCT19yZWxhdGl2ZS9UeXBlIGdld2lqemlnZC57Q29sdW1uMTIwLDExOX0mcXVvdDssJnF1b3Q7U2VjdGlvbjEvbWFwcGluZ19idWRnZXQtVEJPX3JlbGF0aXZlL1R5cGUgZ2V3aWp6aWdkLntDb2x1bW4xMjEsMTIwfSZxdW90OywmcXVvdDtTZWN0aW9uMS9tYXBwaW5nX2J1ZGdldC1UQk9fcmVsYXRpdmUvVHlwZSBnZXdpanppZ2Que0NvbHVtbjEyMiwxMjF9JnF1b3Q7LCZxdW90O1NlY3Rpb24xL21hcHBpbmdfYnVkZ2V0LVRCT19yZWxhdGl2ZS9UeXBlIGdld2lqemlnZC57Q29sdW1uMTIzLDEyMn0mcXVvdDssJnF1b3Q7U2VjdGlvbjEvbWFwcGluZ19idWRnZXQtVEJPX3JlbGF0aXZlL1R5cGUgZ2V3aWp6aWdkLntDb2x1bW4xMjQsMTIzfSZxdW90OywmcXVvdDtTZWN0aW9uMS9tYXBwaW5nX2J1ZGdldC1UQk9fcmVsYXRpdmUvVHlwZSBnZXdpanppZ2Que0NvbHVtbjEyNSwxMjR9JnF1b3Q7LCZxdW90O1NlY3Rpb24xL21hcHBpbmdfYnVkZ2V0LVRCT19yZWxhdGl2ZS9UeXBlIGdld2lqemlnZC57Q29sdW1uMTI2LDEyNX0mcXVvdDssJnF1b3Q7U2VjdGlvbjEvbWFwcGluZ19idWRnZXQtVEJPX3JlbGF0aXZlL1R5cGUgZ2V3aWp6aWdkLntDb2x1bW4xMjcsMTI2fSZxdW90OywmcXVvdDtTZWN0aW9uMS9tYXBwaW5nX2J1ZGdldC1UQk9fcmVsYXRpdmUvVHlwZSBnZXdpanppZ2Que0NvbHVtbjEyOCwxMjd9JnF1b3Q7LCZxdW90O1NlY3Rpb24xL21hcHBpbmdfYnVkZ2V0LVRCT19yZWxhdGl2ZS9UeXBlIGdld2lqemlnZC57Q29sdW1uMTI5LDEyOH0mcXVvdDssJnF1b3Q7U2VjdGlvbjEvbWFwcGluZ19idWRnZXQtVEJPX3JlbGF0aXZlL1R5cGUgZ2V3aWp6aWdkLntDb2x1bW4xMzAsMTI5fSZxdW90OywmcXVvdDtTZWN0aW9uMS9tYXBwaW5nX2J1ZGdldC1UQk9fcmVsYXRpdmUvVHlwZSBnZXdpanppZ2Que0NvbHVtbjEzMSwxMzB9JnF1b3Q7LCZxdW90O1NlY3Rpb24xL21hcHBpbmdfYnVkZ2V0LVRCT19yZWxhdGl2ZS9UeXBlIGdld2lqemlnZC57Q29sdW1uMTMyLDEzMX0mcXVvdDssJnF1b3Q7U2VjdGlvbjEvbWFwcGluZ19idWRnZXQtVEJPX3JlbGF0aXZlL1R5cGUgZ2V3aWp6aWdkLntDb2x1bW4xMzMsMTMyfSZxdW90OywmcXVvdDtTZWN0aW9uMS9tYXBwaW5nX2J1ZGdldC1UQk9fcmVsYXRpdmUvVHlwZSBnZXdpanppZ2Que0NvbHVtbjEzNCwxMzN9JnF1b3Q7LCZxdW90O1NlY3Rpb24xL21hcHBpbmdfYnVkZ2V0LVRCT19yZWxhdGl2ZS9UeXBlIGdld2lqemlnZC57Q29sdW1uMTM1LDEzNH0mcXVvdDssJnF1b3Q7U2VjdGlvbjEvbWFwcGluZ19idWRnZXQtVEJPX3JlbGF0aXZlL1R5cGUgZ2V3aWp6aWdkLntDb2x1bW4xMzYsMTM1fSZxdW90OywmcXVvdDtTZWN0aW9uMS9tYXBwaW5nX2J1ZGdldC1UQk9fcmVsYXRpdmUvVHlwZSBnZXdpanppZ2Que0NvbHVtbjEzNywxMzZ9JnF1b3Q7LCZxdW90O1NlY3Rpb24xL21hcHBpbmdfYnVkZ2V0LVRCT19yZWxhdGl2ZS9UeXBlIGdld2lqemlnZC57Q29sdW1uMTM4LDEzN30mcXVvdDssJnF1b3Q7U2VjdGlvbjEvbWFwcGluZ19idWRnZXQtVEJPX3JlbGF0aXZlL1R5cGUgZ2V3aWp6aWdkLntDb2x1bW4xMzksMTM4fSZxdW90OywmcXVvdDtTZWN0aW9uMS9tYXBwaW5nX2J1ZGdldC1UQk9fcmVsYXRpdmUvVHlwZSBnZXdpanppZ2Que0NvbHVtbjE0MCwxMzl9JnF1b3Q7LCZxdW90O1NlY3Rpb24xL21hcHBpbmdfYnVkZ2V0LVRCT19yZWxhdGl2ZS9UeXBlIGdld2lqemlnZC57Q29sdW1uMTQxLDE0MH0mcXVvdDssJnF1b3Q7U2VjdGlvbjEvbWFwcGluZ19idWRnZXQtVEJPX3JlbGF0aXZlL1R5cGUgZ2V3aWp6aWdkLntDb2x1bW4xNDIsMTQxfSZxdW90OywmcXVvdDtTZWN0aW9uMS9tYXBwaW5nX2J1ZGdldC1UQk9fcmVsYXRpdmUvVHlwZSBnZXdpanppZ2Que0NvbHVtbjE0MywxNDJ9JnF1b3Q7LCZxdW90O1NlY3Rpb24xL21hcHBpbmdfYnVkZ2V0LVRCT19yZWxhdGl2ZS9UeXBlIGdld2lqemlnZC57Q29sdW1uMTQ0LDE0M30mcXVvdDssJnF1b3Q7U2VjdGlvbjEvbWFwcGluZ19idWRnZXQtVEJPX3JlbGF0aXZlL1R5cGUgZ2V3aWp6aWdkLntDb2x1bW4xNDUsMTQ0fSZxdW90OywmcXVvdDtTZWN0aW9uMS9tYXBwaW5nX2J1ZGdldC1UQk9fcmVsYXRpdmUvVHlwZSBnZXdpanppZ2Que0NvbHVtbjE0NiwxNDV9JnF1b3Q7LCZxdW90O1NlY3Rpb24xL21hcHBpbmdfYnVkZ2V0LVRCT19yZWxhdGl2ZS9UeXBlIGdld2lqemlnZC57Q29sdW1uMTQ3LDE0Nn0mcXVvdDssJnF1b3Q7U2VjdGlvbjEvbWFwcGluZ19idWRnZXQtVEJPX3JlbGF0aXZlL1R5cGUgZ2V3aWp6aWdkLntDb2x1bW4xNDgsMTQ3fSZxdW90OywmcXVvdDtTZWN0aW9uMS9tYXBwaW5nX2J1ZGdldC1UQk9fcmVsYXRpdmUvVHlwZSBnZXdpanppZ2Que0NvbHVtbjE0OSwxNDh9JnF1b3Q7LCZxdW90O1NlY3Rpb24xL21hcHBpbmdfYnVkZ2V0LVRCT19yZWxhdGl2ZS9UeXBlIGdld2lqemlnZC57Q29sdW1uMTUwLDE0OX0mcXVvdDssJnF1b3Q7U2VjdGlvbjEvbWFwcGluZ19idWRnZXQtVEJPX3JlbGF0aXZlL1R5cGUgZ2V3aWp6aWdkLntDb2x1bW4xNTEsMTUwfSZxdW90OywmcXVvdDtTZWN0aW9uMS9tYXBwaW5nX2J1ZGdldC1UQk9fcmVsYXRpdmUvVHlwZSBnZXdpanppZ2Que0NvbHVtbjE1MiwxNTF9JnF1b3Q7LCZxdW90O1NlY3Rpb24xL21hcHBpbmdfYnVkZ2V0LVRCT19yZWxhdGl2ZS9UeXBlIGdld2lqemlnZC57Q29sdW1uMTUzLDE1Mn0mcXVvdDssJnF1b3Q7U2VjdGlvbjEvbWFwcGluZ19idWRnZXQtVEJPX3JlbGF0aXZlL1R5cGUgZ2V3aWp6aWdkLntDb2x1bW4xNTQsMTUzfSZxdW90OywmcXVvdDtTZWN0aW9uMS9tYXBwaW5nX2J1ZGdldC1UQk9fcmVsYXRpdmUvVHlwZSBnZXdpanppZ2Que0NvbHVtbjE1NSwxNTR9JnF1b3Q7LCZxdW90O1NlY3Rpb24xL21hcHBpbmdfYnVkZ2V0LVRCT19yZWxhdGl2ZS9UeXBlIGdld2lqemlnZC57Q29sdW1uMTU2LDE1NX0mcXVvdDssJnF1b3Q7U2VjdGlvbjEvbWFwcGluZ19idWRnZXQtVEJPX3JlbGF0aXZlL1R5cGUgZ2V3aWp6aWdkLntDb2x1bW4xNTcsMTU2fSZxdW90OywmcXVvdDtTZWN0aW9uMS9tYXBwaW5nX2J1ZGdldC1UQk9fcmVsYXRpdmUvVHlwZSBnZXdpanppZ2Que0NvbHVtbjE1OCwxNTd9JnF1b3Q7LCZxdW90O1NlY3Rpb24xL21hcHBpbmdfYnVkZ2V0LVRCT19yZWxhdGl2ZS9UeXBlIGdld2lqemlnZC57Q29sdW1uMTU5LDE1OH0mcXVvdDssJnF1b3Q7U2VjdGlvbjEvbWFwcGluZ19idWRnZXQtVEJPX3JlbGF0aXZlL1R5cGUgZ2V3aWp6aWdkLntDb2x1bW4xNjAsMTU5fSZxdW90OywmcXVvdDtTZWN0aW9uMS9tYXBwaW5nX2J1ZGdldC1UQk9fcmVsYXRpdmUvVHlwZSBnZXdpanppZ2Que0NvbHVtbjE2MSwxNjB9JnF1b3Q7LCZxdW90O1NlY3Rpb24xL21hcHBpbmdfYnVkZ2V0LVRCT19yZWxhdGl2ZS9UeXBlIGdld2lqemlnZC57Q29sdW1uMTYyLDE2MX0mcXVvdDssJnF1b3Q7U2VjdGlvbjEvbWFwcGluZ19idWRnZXQtVEJPX3JlbGF0aXZlL1R5cGUgZ2V3aWp6aWdkLntDb2x1bW4xNjMsMTYyfSZxdW90OywmcXVvdDtTZWN0aW9uMS9tYXBwaW5nX2J1ZGdldC1UQk9fcmVsYXRpdmUvVHlwZSBnZXdpanppZ2Que0NvbHVtbjE2NCwxNjN9JnF1b3Q7LCZxdW90O1NlY3Rpb24xL21hcHBpbmdfYnVkZ2V0LVRCT19yZWxhdGl2ZS9UeXBlIGdld2lqemlnZC57Q29sdW1uMTY1LDE2NH0mcXVvdDssJnF1b3Q7U2VjdGlvbjEvbWFwcGluZ19idWRnZXQtVEJPX3JlbGF0aXZlL1R5cGUgZ2V3aWp6aWdkLntDb2x1bW4xNjYsMTY1fSZxdW90OywmcXVvdDtTZWN0aW9uMS9tYXBwaW5nX2J1ZGdldC1UQk9fcmVsYXRpdmUvVHlwZSBnZXdpanppZ2Que0NvbHVtbjE2NywxNjZ9JnF1b3Q7LCZxdW90O1NlY3Rpb24xL21hcHBpbmdfYnVkZ2V0LVRCT19yZWxhdGl2ZS9UeXBlIGdld2lqemlnZC57Q29sdW1uMTY4LDE2N30mcXVvdDssJnF1b3Q7U2VjdGlvbjEvbWFwcGluZ19idWRnZXQtVEJPX3JlbGF0aXZlL1R5cGUgZ2V3aWp6aWdkLntDb2x1bW4xNjksMTY4fSZxdW90OywmcXVvdDtTZWN0aW9uMS9tYXBwaW5nX2J1ZGdldC1UQk9fcmVsYXRpdmUvVHlwZSBnZXdpanppZ2Que0NvbHVtbjE3MCwxNjl9JnF1b3Q7LCZxdW90O1NlY3Rpb24xL21hcHBpbmdfYnVkZ2V0LVRCT19yZWxhdGl2ZS9UeXBlIGdld2lqemlnZC57Q29sdW1uMTcxLDE3MH0mcXVvdDssJnF1b3Q7U2VjdGlvbjEvbWFwcGluZ19idWRnZXQtVEJPX3JlbGF0aXZlL1R5cGUgZ2V3aWp6aWdkLntDb2x1bW4xNzIsMTcxfSZxdW90OywmcXVvdDtTZWN0aW9uMS9tYXBwaW5nX2J1ZGdldC1UQk9fcmVsYXRpdmUvVHlwZSBnZXdpanppZ2Que0NvbHVtbjE3MywxNzJ9JnF1b3Q7LCZxdW90O1NlY3Rpb24xL21hcHBpbmdfYnVkZ2V0LVRCT19yZWxhdGl2ZS9UeXBlIGdld2lqemlnZC57Q29sdW1uMTc0LDE3M30mcXVvdDssJnF1b3Q7U2VjdGlvbjEvbWFwcGluZ19idWRnZXQtVEJPX3JlbGF0aXZlL1R5cGUgZ2V3aWp6aWdkLntDb2x1bW4xNzUsMTc0fSZxdW90OywmcXVvdDtTZWN0aW9uMS9tYXBwaW5nX2J1ZGdldC1UQk9fcmVsYXRpdmUvVHlwZSBnZXdpanppZ2Que0NvbHVtbjE3NiwxNzV9JnF1b3Q7LCZxdW90O1NlY3Rpb24xL21hcHBpbmdfYnVkZ2V0LVRCT19yZWxhdGl2ZS9UeXBlIGdld2lqemlnZC57Q29sdW1uMTc3LDE3Nn0mcXVvdDssJnF1b3Q7U2VjdGlvbjEvbWFwcGluZ19idWRnZXQtVEJPX3JlbGF0aXZlL1R5cGUgZ2V3aWp6aWdkLntDb2x1bW4xNzgsMTc3fSZxdW90OywmcXVvdDtTZWN0aW9uMS9tYXBwaW5nX2J1ZGdldC1UQk9fcmVsYXRpdmUvVHlwZSBnZXdpanppZ2Que0NvbHVtbjE3OSwxNzh9JnF1b3Q7LCZxdW90O1NlY3Rpb24xL21hcHBpbmdfYnVkZ2V0LVRCT19yZWxhdGl2ZS9UeXBlIGdld2lqemlnZC57Q29sdW1uMTgwLDE3OX0mcXVvdDssJnF1b3Q7U2VjdGlvbjEvbWFwcGluZ19idWRnZXQtVEJPX3JlbGF0aXZlL1R5cGUgZ2V3aWp6aWdkLntDb2x1bW4xODEsMTgwfSZxdW90OywmcXVvdDtTZWN0aW9uMS9tYXBwaW5nX2J1ZGdldC1UQk9fcmVsYXRpdmUvVHlwZSBnZXdpanppZ2Que0NvbHVtbjE4MiwxODF9JnF1b3Q7LCZxdW90O1NlY3Rpb24xL21hcHBpbmdfYnVkZ2V0LVRCT19yZWxhdGl2ZS9UeXBlIGdld2lqemlnZC57Q29sdW1uMTgzLDE4Mn0mcXVvdDssJnF1b3Q7U2VjdGlvbjEvbWFwcGluZ19idWRnZXQtVEJPX3JlbGF0aXZlL1R5cGUgZ2V3aWp6aWdkLntDb2x1bW4xODQsMTgzfSZxdW90OywmcXVvdDtTZWN0aW9uMS9tYXBwaW5nX2J1ZGdldC1UQk9fcmVsYXRpdmUvVHlwZSBnZXdpanppZ2Que0NvbHVtbjE4NSwxODR9JnF1b3Q7LCZxdW90O1NlY3Rpb24xL21hcHBpbmdfYnVkZ2V0LVRCT19yZWxhdGl2ZS9UeXBlIGdld2lqemlnZC57Q29sdW1uMTg2LDE4NX0mcXVvdDssJnF1b3Q7U2VjdGlvbjEvbWFwcGluZ19idWRnZXQtVEJPX3JlbGF0aXZlL1R5cGUgZ2V3aWp6aWdkLntDb2x1bW4xODcsMTg2fSZxdW90OywmcXVvdDtTZWN0aW9uMS9tYXBwaW5nX2J1ZGdldC1UQk9fcmVsYXRpdmUvVHlwZSBnZXdpanppZ2Que0NvbHVtbjE4OCwxODd9JnF1b3Q7LCZxdW90O1NlY3Rpb24xL21hcHBpbmdfYnVkZ2V0LVRCT19yZWxhdGl2ZS9UeXBlIGdld2lqemlnZC57Q29sdW1uMTg5LDE4OH0mcXVvdDssJnF1b3Q7U2VjdGlvbjEvbWFwcGluZ19idWRnZXQtVEJPX3JlbGF0aXZlL1R5cGUgZ2V3aWp6aWdkLntDb2x1bW4xOTAsMTg5fSZxdW90OywmcXVvdDtTZWN0aW9uMS9tYXBwaW5nX2J1ZGdldC1UQk9fcmVsYXRpdmUvVHlwZSBnZXdpanppZ2Que0NvbHVtbjE5MSwxOTB9JnF1b3Q7LCZxdW90O1NlY3Rpb24xL21hcHBpbmdfYnVkZ2V0LVRCT19yZWxhdGl2ZS9UeXBlIGdld2lqemlnZC57Q29sdW1uMTkyLDE5MX0mcXVvdDssJnF1b3Q7U2VjdGlvbjEvbWFwcGluZ19idWRnZXQtVEJPX3JlbGF0aXZlL1R5cGUgZ2V3aWp6aWdkLntDb2x1bW4xOTMsMTkyfSZxdW90OywmcXVvdDtTZWN0aW9uMS9tYXBwaW5nX2J1ZGdldC1UQk9fcmVsYXRpdmUvVHlwZSBnZXdpanppZ2Que0NvbHVtbjE5NCwxOTN9JnF1b3Q7LCZxdW90O1NlY3Rpb24xL21hcHBpbmdfYnVkZ2V0LVRCT19yZWxhdGl2ZS9UeXBlIGdld2lqemlnZC57Q29sdW1uMTk1LDE5NH0mcXVvdDssJnF1b3Q7U2VjdGlvbjEvbWFwcGluZ19idWRnZXQtVEJPX3JlbGF0aXZlL1R5cGUgZ2V3aWp6aWdkLntDb2x1bW4xOTYsMTk1fSZxdW90OywmcXVvdDtTZWN0aW9uMS9tYXBwaW5nX2J1ZGdldC1UQk9fcmVsYXRpdmUvVHlwZSBnZXdpanppZ2Que0NvbHVtbjE5NywxOTZ9JnF1b3Q7LCZxdW90O1NlY3Rpb24xL21hcHBpbmdfYnVkZ2V0LVRCT19yZWxhdGl2ZS9UeXBlIGdld2lqemlnZC57Q29sdW1uMTk4LDE5N30mcXVvdDssJnF1b3Q7U2VjdGlvbjEvbWFwcGluZ19idWRnZXQtVEJPX3JlbGF0aXZlL1R5cGUgZ2V3aWp6aWdkLntDb2x1bW4xOTksMTk4fSZxdW90OywmcXVvdDtTZWN0aW9uMS9tYXBwaW5nX2J1ZGdldC1UQk9fcmVsYXRpdmUvVHlwZSBnZXdpanppZ2Que0NvbHVtbjIwMCwxOTl9JnF1b3Q7LCZxdW90O1NlY3Rpb24xL21hcHBpbmdfYnVkZ2V0LVRCT19yZWxhdGl2ZS9UeXBlIGdld2lqemlnZC57Q29sdW1uMjAxLDIwMH0mcXVvdDssJnF1b3Q7U2VjdGlvbjEvbWFwcGluZ19idWRnZXQtVEJPX3JlbGF0aXZlL1R5cGUgZ2V3aWp6aWdkLntDb2x1bW4yMDIsMjAxfSZxdW90OywmcXVvdDtTZWN0aW9uMS9tYXBwaW5nX2J1ZGdldC1UQk9fcmVsYXRpdmUvVHlwZSBnZXdpanppZ2Que0NvbHVtbjIwMywyMDJ9JnF1b3Q7LCZxdW90O1NlY3Rpb24xL21hcHBpbmdfYnVkZ2V0LVRCT19yZWxhdGl2ZS9UeXBlIGdld2lqemlnZC57Q29sdW1uMjA0LDIwM30mcXVvdDssJnF1b3Q7U2VjdGlvbjEvbWFwcGluZ19idWRnZXQtVEJPX3JlbGF0aXZlL1R5cGUgZ2V3aWp6aWdkLntDb2x1bW4yMDUsMjA0fSZxdW90OywmcXVvdDtTZWN0aW9uMS9tYXBwaW5nX2J1ZGdldC1UQk9fcmVsYXRpdmUvVHlwZSBnZXdpanppZ2Que0NvbHVtbjIwNiwyMDV9JnF1b3Q7LCZxdW90O1NlY3Rpb24xL21hcHBpbmdfYnVkZ2V0LVRCT19yZWxhdGl2ZS9UeXBlIGdld2lqemlnZC57Q29sdW1uMjA3LDIwNn0mcXVvdDssJnF1b3Q7U2VjdGlvbjEvbWFwcGluZ19idWRnZXQtVEJPX3JlbGF0aXZlL1R5cGUgZ2V3aWp6aWdkLntDb2x1bW4yMDgsMjA3fSZxdW90OywmcXVvdDtTZWN0aW9uMS9tYXBwaW5nX2J1ZGdldC1UQk9fcmVsYXRpdmUvVHlwZSBnZXdpanppZ2Que0NvbHVtbjIwOSwyMDh9JnF1b3Q7LCZxdW90O1NlY3Rpb24xL21hcHBpbmdfYnVkZ2V0LVRCT19yZWxhdGl2ZS9UeXBlIGdld2lqemlnZC57Q29sdW1uMjEwLDIwOX0mcXVvdDssJnF1b3Q7U2VjdGlvbjEvbWFwcGluZ19idWRnZXQtVEJPX3JlbGF0aXZlL1R5cGUgZ2V3aWp6aWdkLntDb2x1bW4yMTEsMjEwfSZxdW90OywmcXVvdDtTZWN0aW9uMS9tYXBwaW5nX2J1ZGdldC1UQk9fcmVsYXRpdmUvVHlwZSBnZXdpanppZ2Que0NvbHVtbjIxMiwyMTF9JnF1b3Q7LCZxdW90O1NlY3Rpb24xL21hcHBpbmdfYnVkZ2V0LVRCT19yZWxhdGl2ZS9UeXBlIGdld2lqemlnZC57Q29sdW1uMjEzLDIxMn0mcXVvdDssJnF1b3Q7U2VjdGlvbjEvbWFwcGluZ19idWRnZXQtVEJPX3JlbGF0aXZlL1R5cGUgZ2V3aWp6aWdkLntDb2x1bW4yMTQsMjEzfSZxdW90OywmcXVvdDtTZWN0aW9uMS9tYXBwaW5nX2J1ZGdldC1UQk9fcmVsYXRpdmUvVHlwZSBnZXdpanppZ2Que0NvbHVtbjIxNSwyMTR9JnF1b3Q7LCZxdW90O1NlY3Rpb24xL21hcHBpbmdfYnVkZ2V0LVRCT19yZWxhdGl2ZS9UeXBlIGdld2lqemlnZC57Q29sdW1uMjE2LDIxNX0mcXVvdDssJnF1b3Q7U2VjdGlvbjEvbWFwcGluZ19idWRnZXQtVEJPX3JlbGF0aXZlL1R5cGUgZ2V3aWp6aWdkLntDb2x1bW4yMTcsMjE2fSZxdW90OywmcXVvdDtTZWN0aW9uMS9tYXBwaW5nX2J1ZGdldC1UQk9fcmVsYXRpdmUvVHlwZSBnZXdpanppZ2Que0NvbHVtbjIxOCwyMTd9JnF1b3Q7LCZxdW90O1NlY3Rpb24xL21hcHBpbmdfYnVkZ2V0LVRCT19yZWxhdGl2ZS9UeXBlIGdld2lqemlnZC57Q29sdW1uMjE5LDIxOH0mcXVvdDssJnF1b3Q7U2VjdGlvbjEvbWFwcGluZ19idWRnZXQtVEJPX3JlbGF0aXZlL1R5cGUgZ2V3aWp6aWdkLntDb2x1bW4yMjAsMjE5fSZxdW90OywmcXVvdDtTZWN0aW9uMS9tYXBwaW5nX2J1ZGdldC1UQk9fcmVsYXRpdmUvVHlwZSBnZXdpanppZ2Que0NvbHVtbjIyMSwyMjB9JnF1b3Q7LCZxdW90O1NlY3Rpb24xL21hcHBpbmdfYnVkZ2V0LVRCT19yZWxhdGl2ZS9UeXBlIGdld2lqemlnZC57Q29sdW1uMjIyLDIyMX0mcXVvdDssJnF1b3Q7U2VjdGlvbjEvbWFwcGluZ19idWRnZXQtVEJPX3JlbGF0aXZlL1R5cGUgZ2V3aWp6aWdkLntDb2x1bW4yMjMsMjIyfSZxdW90OywmcXVvdDtTZWN0aW9uMS9tYXBwaW5nX2J1ZGdldC1UQk9fcmVsYXRpdmUvVHlwZSBnZXdpanppZ2Que0NvbHVtbjIyNCwyMjN9JnF1b3Q7LCZxdW90O1NlY3Rpb24xL21hcHBpbmdfYnVkZ2V0LVRCT19yZWxhdGl2ZS9UeXBlIGdld2lqemlnZC57Q29sdW1uMjI1LDIyNH0mcXVvdDssJnF1b3Q7U2VjdGlvbjEvbWFwcGluZ19idWRnZXQtVEJPX3JlbGF0aXZlL1R5cGUgZ2V3aWp6aWdkLntDb2x1bW4yMjYsMjI1fSZxdW90OywmcXVvdDtTZWN0aW9uMS9tYXBwaW5nX2J1ZGdldC1UQk9fcmVsYXRpdmUvVHlwZSBnZXdpanppZ2Que0NvbHVtbjIyNywyMjZ9JnF1b3Q7LCZxdW90O1NlY3Rpb24xL21hcHBpbmdfYnVkZ2V0LVRCT19yZWxhdGl2ZS9UeXBlIGdld2lqemlnZC57Q29sdW1uMjI4LDIyN30mcXVvdDssJnF1b3Q7U2VjdGlvbjEvbWFwcGluZ19idWRnZXQtVEJPX3JlbGF0aXZlL1R5cGUgZ2V3aWp6aWdkLntDb2x1bW4yMjksMjI4fSZxdW90OywmcXVvdDtTZWN0aW9uMS9tYXBwaW5nX2J1ZGdldC1UQk9fcmVsYXRpdmUvVHlwZSBnZXdpanppZ2Que0NvbHVtbjIzMCwyMjl9JnF1b3Q7LCZxdW90O1NlY3Rpb24xL21hcHBpbmdfYnVkZ2V0LVRCT19yZWxhdGl2ZS9UeXBlIGdld2lqemlnZC57Q29sdW1uMjMxLDIzMH0mcXVvdDssJnF1b3Q7U2VjdGlvbjEvbWFwcGluZ19idWRnZXQtVEJPX3JlbGF0aXZlL1R5cGUgZ2V3aWp6aWdkLntDb2x1bW4yMzIsMjMxfSZxdW90OywmcXVvdDtTZWN0aW9uMS9tYXBwaW5nX2J1ZGdldC1UQk9fcmVsYXRpdmUvVHlwZSBnZXdpanppZ2Que0NvbHVtbjIzMywyMzJ9JnF1b3Q7LCZxdW90O1NlY3Rpb24xL21hcHBpbmdfYnVkZ2V0LVRCT19yZWxhdGl2ZS9UeXBlIGdld2lqemlnZC57Q29sdW1uMjM0LDIzM30mcXVvdDssJnF1b3Q7U2VjdGlvbjEvbWFwcGluZ19idWRnZXQtVEJPX3JlbGF0aXZlL1R5cGUgZ2V3aWp6aWdkLntDb2x1bW4yMzUsMjM0fSZxdW90OywmcXVvdDtTZWN0aW9uMS9tYXBwaW5nX2J1ZGdldC1UQk9fcmVsYXRpdmUvVHlwZSBnZXdpanppZ2Que0NvbHVtbjIzNiwyMzV9JnF1b3Q7LCZxdW90O1NlY3Rpb24xL21hcHBpbmdfYnVkZ2V0LVRCT19yZWxhdGl2ZS9UeXBlIGdld2lqemlnZC57Q29sdW1uMjM3LDIzNn0mcXVvdDssJnF1b3Q7U2VjdGlvbjEvbWFwcGluZ19idWRnZXQtVEJPX3JlbGF0aXZlL1R5cGUgZ2V3aWp6aWdkLntDb2x1bW4yMzgsMjM3fSZxdW90OywmcXVvdDtTZWN0aW9uMS9tYXBwaW5nX2J1ZGdldC1UQk9fcmVsYXRpdmUvVHlwZSBnZXdpanppZ2Que0NvbHVtbjIzOSwyMzh9JnF1b3Q7LCZxdW90O1NlY3Rpb24xL21hcHBpbmdfYnVkZ2V0LVRCT19yZWxhdGl2ZS9UeXBlIGdld2lqemlnZC57Q29sdW1uMjQwLDIzOX0mcXVvdDssJnF1b3Q7U2VjdGlvbjEvbWFwcGluZ19idWRnZXQtVEJPX3JlbGF0aXZlL1R5cGUgZ2V3aWp6aWdkLntDb2x1bW4yNDEsMjQwfSZxdW90OywmcXVvdDtTZWN0aW9uMS9tYXBwaW5nX2J1ZGdldC1UQk9fcmVsYXRpdmUvVHlwZSBnZXdpanppZ2Que0NvbHVtbjI0MiwyNDF9JnF1b3Q7LCZxdW90O1NlY3Rpb24xL21hcHBpbmdfYnVkZ2V0LVRCT19yZWxhdGl2ZS9UeXBlIGdld2lqemlnZC57Q29sdW1uMjQzLDI0Mn0mcXVvdDssJnF1b3Q7U2VjdGlvbjEvbWFwcGluZ19idWRnZXQtVEJPX3JlbGF0aXZlL1R5cGUgZ2V3aWp6aWdkLntDb2x1bW4yNDQsMjQzfSZxdW90OywmcXVvdDtTZWN0aW9uMS9tYXBwaW5nX2J1ZGdldC1UQk9fcmVsYXRpdmUvVHlwZSBnZXdpanppZ2Que0NvbHVtbjI0NSwyNDR9JnF1b3Q7LCZxdW90O1NlY3Rpb24xL21hcHBpbmdfYnVkZ2V0LVRCT19yZWxhdGl2ZS9UeXBlIGdld2lqemlnZC57Q29sdW1uMjQ2LDI0NX0mcXVvdDssJnF1b3Q7U2VjdGlvbjEvbWFwcGluZ19idWRnZXQtVEJPX3JlbGF0aXZlL1R5cGUgZ2V3aWp6aWdkLntDb2x1bW4yNDcsMjQ2fSZxdW90OywmcXVvdDtTZWN0aW9uMS9tYXBwaW5nX2J1ZGdldC1UQk9fcmVsYXRpdmUvVHlwZSBnZXdpanppZ2Que0NvbHVtbjI0OCwyNDd9JnF1b3Q7LCZxdW90O1NlY3Rpb24xL21hcHBpbmdfYnVkZ2V0LVRCT19yZWxhdGl2ZS9UeXBlIGdld2lqemlnZC57Q29sdW1uMjQ5LDI0OH0mcXVvdDssJnF1b3Q7U2VjdGlvbjEvbWFwcGluZ19idWRnZXQtVEJPX3JlbGF0aXZlL1R5cGUgZ2V3aWp6aWdkLntDb2x1bW4yNTAsMjQ5fSZxdW90OywmcXVvdDtTZWN0aW9uMS9tYXBwaW5nX2J1ZGdldC1UQk9fcmVsYXRpdmUvVHlwZSBnZXdpanppZ2Que0NvbHVtbjI1MSwyNTB9JnF1b3Q7LCZxdW90O1NlY3Rpb24xL21hcHBpbmdfYnVkZ2V0LVRCT19yZWxhdGl2ZS9UeXBlIGdld2lqemlnZC57Q29sdW1uMjUyLDI1MX0mcXVvdDssJnF1b3Q7U2VjdGlvbjEvbWFwcGluZ19idWRnZXQtVEJPX3JlbGF0aXZlL1R5cGUgZ2V3aWp6aWdkLntDb2x1bW4yNTMsMjUyfSZxdW90OywmcXVvdDtTZWN0aW9uMS9tYXBwaW5nX2J1ZGdldC1UQk9fcmVsYXRpdmUvVHlwZSBnZXdpanppZ2Que0NvbHVtbjI1NCwyNTN9JnF1b3Q7LCZxdW90O1NlY3Rpb24xL21hcHBpbmdfYnVkZ2V0LVRCT19yZWxhdGl2ZS9UeXBlIGdld2lqemlnZC57Q29sdW1uMjU1LDI1NH0mcXVvdDssJnF1b3Q7U2VjdGlvbjEvbWFwcGluZ19idWRnZXQtVEJPX3JlbGF0aXZlL1R5cGUgZ2V3aWp6aWdkLntDb2x1bW4yNTYsMjU1fSZxdW90OywmcXVvdDtTZWN0aW9uMS9tYXBwaW5nX2J1ZGdldC1UQk9fcmVsYXRpdmUvVHlwZSBnZXdpanppZ2Que0NvbHVtbjI1NywyNTZ9JnF1b3Q7LCZxdW90O1NlY3Rpb24xL21hcHBpbmdfYnVkZ2V0LVRCT19yZWxhdGl2ZS9UeXBlIGdld2lqemlnZC57Q29sdW1uMjU4LDI1N30mcXVvdDssJnF1b3Q7U2VjdGlvbjEvbWFwcGluZ19idWRnZXQtVEJPX3JlbGF0aXZlL1R5cGUgZ2V3aWp6aWdkLntDb2x1bW4yNTksMjU4fSZxdW90OywmcXVvdDtTZWN0aW9uMS9tYXBwaW5nX2J1ZGdldC1UQk9fcmVsYXRpdmUvVHlwZSBnZXdpanppZ2Que0NvbHVtbjI2MCwyNTl9JnF1b3Q7LCZxdW90O1NlY3Rpb24xL21hcHBpbmdfYnVkZ2V0LVRCT19yZWxhdGl2ZS9UeXBlIGdld2lqemlnZC57Q29sdW1uMjYxLDI2MH0mcXVvdDssJnF1b3Q7U2VjdGlvbjEvbWFwcGluZ19idWRnZXQtVEJPX3JlbGF0aXZlL1R5cGUgZ2V3aWp6aWdkLntDb2x1bW4yNjIsMjYxfSZxdW90OywmcXVvdDtTZWN0aW9uMS9tYXBwaW5nX2J1ZGdldC1UQk9fcmVsYXRpdmUvVHlwZSBnZXdpanppZ2Que0NvbHVtbjI2MywyNjJ9JnF1b3Q7LCZxdW90O1NlY3Rpb24xL21hcHBpbmdfYnVkZ2V0LVRCT19yZWxhdGl2ZS9UeXBlIGdld2lqemlnZC57Q29sdW1uMjY0LDI2M30mcXVvdDssJnF1b3Q7U2VjdGlvbjEvbWFwcGluZ19idWRnZXQtVEJPX3JlbGF0aXZlL1R5cGUgZ2V3aWp6aWdkLntDb2x1bW4yNjUsMjY0fSZxdW90OywmcXVvdDtTZWN0aW9uMS9tYXBwaW5nX2J1ZGdldC1UQk9fcmVsYXRpdmUvVHlwZSBnZXdpanppZ2Que0NvbHVtbjI2NiwyNjV9JnF1b3Q7LCZxdW90O1NlY3Rpb24xL21hcHBpbmdfYnVkZ2V0LVRCT19yZWxhdGl2ZS9UeXBlIGdld2lqemlnZC57Q29sdW1uMjY3LDI2Nn0mcXVvdDssJnF1b3Q7U2VjdGlvbjEvbWFwcGluZ19idWRnZXQtVEJPX3JlbGF0aXZlL1R5cGUgZ2V3aWp6aWdkLntDb2x1bW4yNjgsMjY3fSZxdW90OywmcXVvdDtTZWN0aW9uMS9tYXBwaW5nX2J1ZGdldC1UQk9fcmVsYXRpdmUvVHlwZSBnZXdpanppZ2Que0NvbHVtbjI2OSwyNjh9JnF1b3Q7LCZxdW90O1NlY3Rpb24xL21hcHBpbmdfYnVkZ2V0LVRCT19yZWxhdGl2ZS9UeXBlIGdld2lqemlnZC57Q29sdW1uMjcwLDI2OX0mcXVvdDssJnF1b3Q7U2VjdGlvbjEvbWFwcGluZ19idWRnZXQtVEJPX3JlbGF0aXZlL1R5cGUgZ2V3aWp6aWdkLntDb2x1bW4yNzEsMjcwfSZxdW90OywmcXVvdDtTZWN0aW9uMS9tYXBwaW5nX2J1ZGdldC1UQk9fcmVsYXRpdmUvVHlwZSBnZXdpanppZ2Que0NvbHVtbjI3MiwyNzF9JnF1b3Q7LCZxdW90O1NlY3Rpb24xL21hcHBpbmdfYnVkZ2V0LVRCT19yZWxhdGl2ZS9UeXBlIGdld2lqemlnZC57Q29sdW1uMjczLDI3Mn0mcXVvdDssJnF1b3Q7U2VjdGlvbjEvbWFwcGluZ19idWRnZXQtVEJPX3JlbGF0aXZlL1R5cGUgZ2V3aWp6aWdkLntDb2x1bW4yNzQsMjczfSZxdW90OywmcXVvdDtTZWN0aW9uMS9tYXBwaW5nX2J1ZGdldC1UQk9fcmVsYXRpdmUvVHlwZSBnZXdpanppZ2Que0NvbHVtbjI3NSwyNzR9JnF1b3Q7LCZxdW90O1NlY3Rpb24xL21hcHBpbmdfYnVkZ2V0LVRCT19yZWxhdGl2ZS9UeXBlIGdld2lqemlnZC57Q29sdW1uMjc2LDI3NX0mcXVvdDssJnF1b3Q7U2VjdGlvbjEvbWFwcGluZ19idWRnZXQtVEJPX3JlbGF0aXZlL1R5cGUgZ2V3aWp6aWdkLntDb2x1bW4yNzcsMjc2fSZxdW90OywmcXVvdDtTZWN0aW9uMS9tYXBwaW5nX2J1ZGdldC1UQk9fcmVsYXRpdmUvVHlwZSBnZXdpanppZ2Que0NvbHVtbjI3OCwyNzd9JnF1b3Q7LCZxdW90O1NlY3Rpb24xL21hcHBpbmdfYnVkZ2V0LVRCT19yZWxhdGl2ZS9UeXBlIGdld2lqemlnZC57Q29sdW1uMjc5LDI3OH0mcXVvdDssJnF1b3Q7U2VjdGlvbjEvbWFwcGluZ19idWRnZXQtVEJPX3JlbGF0aXZlL1R5cGUgZ2V3aWp6aWdkLntDb2x1bW4yODAsMjc5fSZxdW90OywmcXVvdDtTZWN0aW9uMS9tYXBwaW5nX2J1ZGdldC1UQk9fcmVsYXRpdmUvVHlwZSBnZXdpanppZ2Que0NvbHVtbjI4MSwyODB9JnF1b3Q7LCZxdW90O1NlY3Rpb24xL21hcHBpbmdfYnVkZ2V0LVRCT19yZWxhdGl2ZS9UeXBlIGdld2lqemlnZC57Q29sdW1uMjgyLDI4MX0mcXVvdDssJnF1b3Q7U2VjdGlvbjEvbWFwcGluZ19idWRnZXQtVEJPX3JlbGF0aXZlL1R5cGUgZ2V3aWp6aWdkLntDb2x1bW4yODMsMjgyfSZxdW90OywmcXVvdDtTZWN0aW9uMS9tYXBwaW5nX2J1ZGdldC1UQk9fcmVsYXRpdmUvVHlwZSBnZXdpanppZ2Que0NvbHVtbjI4NCwyODN9JnF1b3Q7LCZxdW90O1NlY3Rpb24xL21hcHBpbmdfYnVkZ2V0LVRCT19yZWxhdGl2ZS9UeXBlIGdld2lqemlnZC57Q29sdW1uMjg1LDI4NH0mcXVvdDssJnF1b3Q7U2VjdGlvbjEvbWFwcGluZ19idWRnZXQtVEJPX3JlbGF0aXZlL1R5cGUgZ2V3aWp6aWdkLntDb2x1bW4yODYsMjg1fSZxdW90OywmcXVvdDtTZWN0aW9uMS9tYXBwaW5nX2J1ZGdldC1UQk9fcmVsYXRpdmUvVHlwZSBnZXdpanppZ2Que0NvbHVtbjI4NywyODZ9JnF1b3Q7LCZxdW90O1NlY3Rpb24xL21hcHBpbmdfYnVkZ2V0LVRCT19yZWxhdGl2ZS9UeXBlIGdld2lqemlnZC57Q29sdW1uMjg4LDI4N30mcXVvdDssJnF1b3Q7U2VjdGlvbjEvbWFwcGluZ19idWRnZXQtVEJPX3JlbGF0aXZlL1R5cGUgZ2V3aWp6aWdkLntDb2x1bW4yODksMjg4fSZxdW90OywmcXVvdDtTZWN0aW9uMS9tYXBwaW5nX2J1ZGdldC1UQk9fcmVsYXRpdmUvVHlwZSBnZXdpanppZ2Que0NvbHVtbjI5MCwyODl9JnF1b3Q7LCZxdW90O1NlY3Rpb24xL21hcHBpbmdfYnVkZ2V0LVRCT19yZWxhdGl2ZS9UeXBlIGdld2lqemlnZC57Q29sdW1uMjkxLDI5MH0mcXVvdDssJnF1b3Q7U2VjdGlvbjEvbWFwcGluZ19idWRnZXQtVEJPX3JlbGF0aXZlL1R5cGUgZ2V3aWp6aWdkLntDb2x1bW4yOTIsMjkxfSZxdW90OywmcXVvdDtTZWN0aW9uMS9tYXBwaW5nX2J1ZGdldC1UQk9fcmVsYXRpdmUvVHlwZSBnZXdpanppZ2Que0NvbHVtbjI5MywyOTJ9JnF1b3Q7LCZxdW90O1NlY3Rpb24xL21hcHBpbmdfYnVkZ2V0LVRCT19yZWxhdGl2ZS9UeXBlIGdld2lqemlnZC57Q29sdW1uMjk0LDI5M30mcXVvdDssJnF1b3Q7U2VjdGlvbjEvbWFwcGluZ19idWRnZXQtVEJPX3JlbGF0aXZlL1R5cGUgZ2V3aWp6aWdkLntDb2x1bW4yOTUsMjk0fSZxdW90OywmcXVvdDtTZWN0aW9uMS9tYXBwaW5nX2J1ZGdldC1UQk9fcmVsYXRpdmUvVHlwZSBnZXdpanppZ2Que0NvbHVtbjI5NiwyOTV9JnF1b3Q7LCZxdW90O1NlY3Rpb24xL21hcHBpbmdfYnVkZ2V0LVRCT19yZWxhdGl2ZS9UeXBlIGdld2lqemlnZC57Q29sdW1uMjk3LDI5Nn0mcXVvdDssJnF1b3Q7U2VjdGlvbjEvbWFwcGluZ19idWRnZXQtVEJPX3JlbGF0aXZlL1R5cGUgZ2V3aWp6aWdkLntDb2x1bW4yOTgsMjk3fSZxdW90OywmcXVvdDtTZWN0aW9uMS9tYXBwaW5nX2J1ZGdldC1UQk9fcmVsYXRpdmUvVHlwZSBnZXdpanppZ2Que0NvbHVtbjI5OSwyOTh9JnF1b3Q7LCZxdW90O1NlY3Rpb24xL21hcHBpbmdfYnVkZ2V0LVRCT19yZWxhdGl2ZS9UeXBlIGdld2lqemlnZC57Q29sdW1uMzAwLDI5OX0mcXVvdDssJnF1b3Q7U2VjdGlvbjEvbWFwcGluZ19idWRnZXQtVEJPX3JlbGF0aXZlL1R5cGUgZ2V3aWp6aWdkLntDb2x1bW4zMDEsMzAwfSZxdW90OywmcXVvdDtTZWN0aW9uMS9tYXBwaW5nX2J1ZGdldC1UQk9fcmVsYXRpdmUvVHlwZSBnZXdpanppZ2Que0NvbHVtbjMwMiwzMDF9JnF1b3Q7LCZxdW90O1NlY3Rpb24xL21hcHBpbmdfYnVkZ2V0LVRCT19yZWxhdGl2ZS9UeXBlIGdld2lqemlnZC57Q29sdW1uMzAzLDMwMn0mcXVvdDssJnF1b3Q7U2VjdGlvbjEvbWFwcGluZ19idWRnZXQtVEJPX3JlbGF0aXZlL1R5cGUgZ2V3aWp6aWdkLntDb2x1bW4zMDQsMzAzfSZxdW90OywmcXVvdDtTZWN0aW9uMS9tYXBwaW5nX2J1ZGdldC1UQk9fcmVsYXRpdmUvVHlwZSBnZXdpanppZ2Que0NvbHVtbjMwNSwzMDR9JnF1b3Q7LCZxdW90O1NlY3Rpb24xL21hcHBpbmdfYnVkZ2V0LVRCT19yZWxhdGl2ZS9UeXBlIGdld2lqemlnZC57Q29sdW1uMzA2LDMwNX0mcXVvdDssJnF1b3Q7U2VjdGlvbjEvbWFwcGluZ19idWRnZXQtVEJPX3JlbGF0aXZlL1R5cGUgZ2V3aWp6aWdkLntDb2x1bW4zMDcsMzA2fSZxdW90OywmcXVvdDtTZWN0aW9uMS9tYXBwaW5nX2J1ZGdldC1UQk9fcmVsYXRpdmUvVHlwZSBnZXdpanppZ2Que0NvbHVtbjMwOCwzMDd9JnF1b3Q7LCZxdW90O1NlY3Rpb24xL21hcHBpbmdfYnVkZ2V0LVRCT19yZWxhdGl2ZS9UeXBlIGdld2lqemlnZC57Q29sdW1uMzA5LDMwOH0mcXVvdDssJnF1b3Q7U2VjdGlvbjEvbWFwcGluZ19idWRnZXQtVEJPX3JlbGF0aXZlL1R5cGUgZ2V3aWp6aWdkLntDb2x1bW4zMTAsMzA5fSZxdW90OywmcXVvdDtTZWN0aW9uMS9tYXBwaW5nX2J1ZGdldC1UQk9fcmVsYXRpdmUvVHlwZSBnZXdpanppZ2Que0NvbHVtbjMxMSwzMTB9JnF1b3Q7LCZxdW90O1NlY3Rpb24xL21hcHBpbmdfYnVkZ2V0LVRCT19yZWxhdGl2ZS9UeXBlIGdld2lqemlnZC57Q29sdW1uMzEyLDMxMX0mcXVvdDssJnF1b3Q7U2VjdGlvbjEvbWFwcGluZ19idWRnZXQtVEJPX3JlbGF0aXZlL1R5cGUgZ2V3aWp6aWdkLntDb2x1bW4zMTMsMzEyfSZxdW90OywmcXVvdDtTZWN0aW9uMS9tYXBwaW5nX2J1ZGdldC1UQk9fcmVsYXRpdmUvVHlwZSBnZXdpanppZ2Que0NvbHVtbjMxNCwzMTN9JnF1b3Q7LCZxdW90O1NlY3Rpb24xL21hcHBpbmdfYnVkZ2V0LVRCT19yZWxhdGl2ZS9UeXBlIGdld2lqemlnZC57Q29sdW1uMzE1LDMxNH0mcXVvdDssJnF1b3Q7U2VjdGlvbjEvbWFwcGluZ19idWRnZXQtVEJPX3JlbGF0aXZlL1R5cGUgZ2V3aWp6aWdkLntDb2x1bW4zMTYsMzE1fSZxdW90O10sJnF1b3Q7UmVsYXRpb25zaGlwSW5mbyZxdW90OzpbXX0iIC8+PC9TdGFibGVFbnRyaWVzPjwvSXRlbT48SXRlbT48SXRlbUxvY2F0aW9uPjxJdGVtVHlwZT5Gb3JtdWxhPC9JdGVtVHlwZT48SXRlbVBhdGg+U2VjdGlvbjEvbWFwcGluZ19idWRnZXQtVEJPX3JlbGF0aXZlL0Jyb248L0l0ZW1QYXRoPjwvSXRlbUxvY2F0aW9uPjxTdGFibGVFbnRyaWVzIC8+PC9JdGVtPjxJdGVtPjxJdGVtTG9jYXRpb24+PEl0ZW1UeXBlPkZvcm11bGE8L0l0ZW1UeXBlPjxJdGVtUGF0aD5TZWN0aW9uMS9tYXBwaW5nX2J1ZGdldC1UQk9fcmVsYXRpdmUvVHlwZSUyMGdld2lqemlnZDwvSXRlbVBhdGg+PC9JdGVtTG9jYXRpb24+PFN0YWJsZUVudHJpZXMgLz48L0l0ZW0+PEl0ZW0+PEl0ZW1Mb2NhdGlvbj48SXRlbVR5cGU+Rm9ybXVsYTwvSXRlbVR5cGU+PEl0ZW1QYXRoPlNlY3Rpb24xL21hcHBpbmdfYnVkZ2V0LVRCT19yZWxhdGl2ZS9IZWFkZXJzJTIwbWV0JTIwdmVyaG9vZ2QlMjBuaXZlYXU8L0l0ZW1QYXRoPjwvSXRlbUxvY2F0aW9uPjxTdGFibGVFbnRyaWVzIC8+PC9JdGVtPjxJdGVtPjxJdGVtTG9jYXRpb24+PEl0ZW1UeXBlPkZvcm11bGE8L0l0ZW1UeXBlPjxJdGVtUGF0aD5TZWN0aW9uMS9jYXJib25FbWlzc2lvbnNfaG91c2Vob2xkc19tZWFuczwvSXRlbVBhdGg+PC9JdGVtTG9jYXRpb24+PFN0YWJsZUVudHJpZXM+PEVudHJ5IFR5cGU9IklzUHJpdmF0ZSIgVmFsdWU9ImwwIiAvPjxFbnRyeSBUeXBlPSJOYXZpZ2F0aW9uU3RlcE5hbWUiIFZhbHVlPSJzTmF2aWdhdGllIiAvPjxFbnRyeSBUeXBlPSJOYW1lVXBkYXRlZEFmdGVyRmlsbCIgVmFsdWU9ImwwIiAvPjxFbnRyeSBUeXBlPSJSZXN1bHRUeXBlIiBWYWx1ZT0ic1RhYmxlIiAvPjxFbnRyeSBUeXBlPSJCdWZmZXJOZXh0UmVmcmVzaCIgVmFsdWU9ImwxIiAvPjxFbnRyeSBUeXBlPSJGaWxsRW5hYmxlZCIgVmFsdWU9ImwwIiAvPjxFbnRyeSBUeXBlPSJGaWxsT2JqZWN0VHlwZSIgVmFsdWU9InNDb25uZWN0aW9uT25seSIgLz48RW50cnkgVHlwZT0iRmlsbFRvRGF0YU1vZGVsRW5hYmxlZCIgVmFsdWU9ImwwIiAvPjxFbnRyeSBUeXBlPSJGaWxsZWRDb21wbGV0ZVJlc3VsdFRvV29ya3NoZWV0IiBWYWx1ZT0ibDEiIC8+PEVudHJ5IFR5cGU9IlJlY292ZXJ5VGFyZ2V0U2hlZXQiIFZhbHVlPSJzQmxhZDEiIC8+PEVudHJ5IFR5cGU9IlJlY292ZXJ5VGFyZ2V0Q29sdW1uIiBWYWx1ZT0ibDEiIC8+PEVudHJ5IFR5cGU9IlJlY292ZXJ5VGFyZ2V0Um93IiBWYWx1ZT0ibDEiIC8+PEVudHJ5IFR5cGU9IkFkZGVkVG9EYXRhTW9kZWwiIFZhbHVlPSJsMCIgLz48RW50cnkgVHlwZT0iRmlsbENvdW50IiBWYWx1ZT0ibDE1NyIgLz48RW50cnkgVHlwZT0iRmlsbEVycm9yQ29kZSIgVmFsdWU9InNVbmtub3duIiAvPjxFbnRyeSBUeXBlPSJGaWxsRXJyb3JDb3VudCIgVmFsdWU9ImwwIiAvPjxFbnRyeSBUeXBlPSJGaWxsTGFzdFVwZGF0ZWQiIFZhbHVlPSJkMjAyNC0xMC0wN1QwNjoyOTowNS41MzU5Mzg1WiIgLz48RW50cnkgVHlwZT0iRmlsbENvbHVtblR5cGVzIiBWYWx1ZT0ic0JnVT0iIC8+PEVudHJ5IFR5cGU9IkZpbGxDb2x1bW5OYW1lcyIgVmFsdWU9InNbJnF1b3Q7Q29sdW1uMSZxdW90OywmcXVvdDtlbWlzc2lvbnM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jYXJib25FbWlzc2lvbnNfaG91c2Vob2xkc19tZWFucy9UeXBlIGdld2lqemlnZDEueywwfSZxdW90OywmcXVvdDtTZWN0aW9uMS9jYXJib25FbWlzc2lvbnNfaG91c2Vob2xkc19tZWFucy9UeXBlIGdld2lqemlnZDEue2VtaXNzaW9ucywxfSZxdW90O10sJnF1b3Q7Q29sdW1uQ291bnQmcXVvdDs6MiwmcXVvdDtLZXlDb2x1bW5OYW1lcyZxdW90OzpbXSwmcXVvdDtDb2x1bW5JZGVudGl0aWVzJnF1b3Q7OlsmcXVvdDtTZWN0aW9uMS9jYXJib25FbWlzc2lvbnNfaG91c2Vob2xkc19tZWFucy9UeXBlIGdld2lqemlnZDEueywwfSZxdW90OywmcXVvdDtTZWN0aW9uMS9jYXJib25FbWlzc2lvbnNfaG91c2Vob2xkc19tZWFucy9UeXBlIGdld2lqemlnZDEue2VtaXNzaW9ucywxfSZxdW90O10sJnF1b3Q7UmVsYXRpb25zaGlwSW5mbyZxdW90OzpbXX0iIC8+PC9TdGFibGVFbnRyaWVzPjwvSXRlbT48SXRlbT48SXRlbUxvY2F0aW9uPjxJdGVtVHlwZT5Gb3JtdWxhPC9JdGVtVHlwZT48SXRlbVBhdGg+U2VjdGlvbjEvY2FyYm9uRW1pc3Npb25zX2hvdXNlaG9sZHNfbWVhbnMvQnJvbjwvSXRlbVBhdGg+PC9JdGVtTG9jYXRpb24+PFN0YWJsZUVudHJpZXMgLz48L0l0ZW0+PEl0ZW0+PEl0ZW1Mb2NhdGlvbj48SXRlbVR5cGU+Rm9ybXVsYTwvSXRlbVR5cGU+PEl0ZW1QYXRoPlNlY3Rpb24xL2NhcmJvbkVtaXNzaW9uc19ob3VzZWhvbGRzX21lYW5zL1R5cGUlMjBnZXdpanppZ2Q8L0l0ZW1QYXRoPjwvSXRlbUxvY2F0aW9uPjxTdGFibGVFbnRyaWVzIC8+PC9JdGVtPjxJdGVtPjxJdGVtTG9jYXRpb24+PEl0ZW1UeXBlPkZvcm11bGE8L0l0ZW1UeXBlPjxJdGVtUGF0aD5TZWN0aW9uMS9jYXJib25FbWlzc2lvbnNfaG91c2Vob2xkc19tZWFucy9IZWFkZXJzJTIwbWV0JTIwdmVyaG9vZ2QlMjBuaXZlYXU8L0l0ZW1QYXRoPjwvSXRlbUxvY2F0aW9uPjxTdGFibGVFbnRyaWVzIC8+PC9JdGVtPjxJdGVtPjxJdGVtTG9jYXRpb24+PEl0ZW1UeXBlPkZvcm11bGE8L0l0ZW1UeXBlPjxJdGVtUGF0aD5TZWN0aW9uMS9jYXJib25FbWlzc2lvbnNfaG91c2Vob2xkc19tZWFucy9UeXBlJTIwZ2V3aWp6aWdkMTwvSXRlbVBhdGg+PC9JdGVtTG9jYXRpb24+PFN0YWJsZUVudHJpZXMgLz48L0l0ZW0+PEl0ZW0+PEl0ZW1Mb2NhdGlvbj48SXRlbVR5cGU+Rm9ybXVsYTwvSXRlbVR5cGU+PEl0ZW1QYXRoPlNlY3Rpb24xL2NhcmJvbkVtaXNzaW9uc19ob3VzZWhvbGRzX21lYW5zJTIwKDIp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k5hbWVVcGRhdGVkQWZ0ZXJGaWxsIiBWYWx1ZT0ibDAiIC8+PEVudHJ5IFR5cGU9IlJlc3VsdFR5cGUiIFZhbHVlPSJzVGFibGUiIC8+PEVudHJ5IFR5cGU9IkJ1ZmZlck5leHRSZWZyZXNoIiBWYWx1ZT0ibDEiIC8+PEVudHJ5IFR5cGU9IkZpbGxUYXJnZXQiIFZhbHVlPSJzY2FyYm9uRW1pc3Npb25zX2hvdXNlaG9sZHNfbWVhbnNfXzIiIC8+PEVudHJ5IFR5cGU9IkZpbGxlZENvbXBsZXRlUmVzdWx0VG9Xb3Jrc2hlZXQiIFZhbHVlPSJsMSIgLz48RW50cnkgVHlwZT0iUmVjb3ZlcnlUYXJnZXRTaGVldCIgVmFsdWU9InNCbGFkMiIgLz48RW50cnkgVHlwZT0iUmVjb3ZlcnlUYXJnZXRDb2x1bW4iIFZhbHVlPSJsMSIgLz48RW50cnkgVHlwZT0iUmVjb3ZlcnlUYXJnZXRSb3ciIFZhbHVlPSJsMSIgLz48RW50cnkgVHlwZT0iQWRkZWRUb0RhdGFNb2RlbCIgVmFsdWU9ImwwIiAvPjxFbnRyeSBUeXBlPSJGaWxsQ291bnQiIFZhbHVlPSJsMTU3IiAvPjxFbnRyeSBUeXBlPSJGaWxsRXJyb3JDb2RlIiBWYWx1ZT0ic1Vua25vd24iIC8+PEVudHJ5IFR5cGU9IkZpbGxFcnJvckNvdW50IiBWYWx1ZT0ibDAiIC8+PEVudHJ5IFR5cGU9IkZpbGxMYXN0VXBkYXRlZCIgVmFsdWU9ImQyMDI0LTEwLTA3VDA2OjM0OjIxLjIxNzYzNzBaIiAvPjxFbnRyeSBUeXBlPSJGaWxsQ29sdW1uVHlwZXMiIFZhbHVlPSJzQmdVPSIgLz48RW50cnkgVHlwZT0iRmlsbENvbHVtbk5hbWVzIiBWYWx1ZT0ic1smcXVvdDt2YXJpYWJsZSZxdW90OywmcXVvdDtlbWlzc2lvbnM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jYXJib25FbWlzc2lvbnNfaG91c2Vob2xkc19tZWFucyAoMikvVHlwZSBnZXdpanppZ2Que3ZhcmlhYmxlLDB9JnF1b3Q7LCZxdW90O1NlY3Rpb24xL2NhcmJvbkVtaXNzaW9uc19ob3VzZWhvbGRzX21lYW5zICgyKS9UeXBlIGdld2lqemlnZC57ZW1pc3Npb25zLDF9JnF1b3Q7XSwmcXVvdDtDb2x1bW5Db3VudCZxdW90OzoyLCZxdW90O0tleUNvbHVtbk5hbWVzJnF1b3Q7OltdLCZxdW90O0NvbHVtbklkZW50aXRpZXMmcXVvdDs6WyZxdW90O1NlY3Rpb24xL2NhcmJvbkVtaXNzaW9uc19ob3VzZWhvbGRzX21lYW5zICgyKS9UeXBlIGdld2lqemlnZC57dmFyaWFibGUsMH0mcXVvdDssJnF1b3Q7U2VjdGlvbjEvY2FyYm9uRW1pc3Npb25zX2hvdXNlaG9sZHNfbWVhbnMgKDIpL1R5cGUgZ2V3aWp6aWdkLntlbWlzc2lvbnMsMX0mcXVvdDtdLCZxdW90O1JlbGF0aW9uc2hpcEluZm8mcXVvdDs6W119IiAvPjwvU3RhYmxlRW50cmllcz48L0l0ZW0+PEl0ZW0+PEl0ZW1Mb2NhdGlvbj48SXRlbVR5cGU+Rm9ybXVsYTwvSXRlbVR5cGU+PEl0ZW1QYXRoPlNlY3Rpb24xL2NhcmJvbkVtaXNzaW9uc19ob3VzZWhvbGRzX21lYW5zJTIwKDIpL0Jyb248L0l0ZW1QYXRoPjwvSXRlbUxvY2F0aW9uPjxTdGFibGVFbnRyaWVzIC8+PC9JdGVtPjxJdGVtPjxJdGVtTG9jYXRpb24+PEl0ZW1UeXBlPkZvcm11bGE8L0l0ZW1UeXBlPjxJdGVtUGF0aD5TZWN0aW9uMS9jYXJib25FbWlzc2lvbnNfaG91c2Vob2xkc19tZWFucyUyMCgyKS9IZWFkZXJzJTIwbWV0JTIwdmVyaG9vZ2QlMjBuaXZlYXU8L0l0ZW1QYXRoPjwvSXRlbUxvY2F0aW9uPjxTdGFibGVFbnRyaWVzIC8+PC9JdGVtPjxJdGVtPjxJdGVtTG9jYXRpb24+PEl0ZW1UeXBlPkZvcm11bGE8L0l0ZW1UeXBlPjxJdGVtUGF0aD5TZWN0aW9uMS9jYXJib25FbWlzc2lvbnNfaG91c2Vob2xkc19tZWFucyUyMCgyKS9UeXBlJTIwZ2V3aWp6aWdkPC9JdGVtUGF0aD48L0l0ZW1Mb2NhdGlvbj48U3RhYmxlRW50cmllcyAvPjwvSXRlbT48L0l0ZW1zPjwvTG9jYWxQYWNrYWdlTWV0YWRhdGFGaWxlPhYAAABQSwUGAAAAAAAAAAAAAAAAAAAAAAAA2gAAAAEAAADQjJ3fARXREYx6AMBPwpfrAQAAAK8ZNBnu1j5Avwdec6rqULoAAAAAAgAAAAAAA2YAAMAAAAAQAAAATwQsNdN+NSsGefiv6Qd7cwAAAAAEgAAAoAAAABAAAABxdghGNJVWaX3SpBTilgEvUAAAAOJW6jk3kUnHiIArgwiTxl9UNkdqTtQwjG/h8+SfB/D9veDUFLzRjyWsCH+IY4NGREb21OzBsp8DjxCgXLgrJduL/U/OAFylHlccgK40LmqHFAAAALu/DTdYXllIHYN1W0HyqNgpgsgY</DataMashup>
</file>

<file path=customXml/itemProps1.xml><?xml version="1.0" encoding="utf-8"?>
<ds:datastoreItem xmlns:ds="http://schemas.openxmlformats.org/officeDocument/2006/customXml" ds:itemID="{4216F3B8-E334-4D00-A584-9893F366C3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LibreOffice/25.2.2.2$Windows_X86_64 LibreOffice_project/7370d4be9e3cf6031a51beef54ff3bda878e3fac</Application>
  <AppVersion>15.0000</AppVersion>
  <Company>CBS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2024-05-14T14:14:23Z</dcterms:created>
  <dc:creator>gst9597mwpe</dc:creator>
  <dc:description/>
  <dc:language>nl-NL</dc:language>
  <cp:lastModifiedBy/>
  <dcterms:modified xsi:type="dcterms:W3CDTF">2025-10-31T17:35:25Z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