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m_l_v_weiper_uu_nl/Documents/Documents/Research/Study - TIME/Code/time_emissions/src/analyse/"/>
    </mc:Choice>
  </mc:AlternateContent>
  <xr:revisionPtr revIDLastSave="592" documentId="8_{4FF9338A-AAD8-4E6E-AC06-9A8E87A5FB82}" xr6:coauthVersionLast="47" xr6:coauthVersionMax="47" xr10:uidLastSave="{2B9367EC-CB7B-4FC0-A085-3CB3C84F5137}"/>
  <bookViews>
    <workbookView xWindow="-120" yWindow="-120" windowWidth="29040" windowHeight="15720" xr2:uid="{D49DF03E-9E8D-4AE6-B566-67A5C0DAD14B}"/>
  </bookViews>
  <sheets>
    <sheet name="calc_emission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5" l="1"/>
  <c r="D44" i="5"/>
  <c r="C44" i="5"/>
  <c r="E43" i="5"/>
  <c r="D43" i="5"/>
  <c r="C43" i="5"/>
  <c r="E42" i="5"/>
  <c r="E54" i="5" s="1"/>
  <c r="D42" i="5"/>
  <c r="C42" i="5"/>
  <c r="E28" i="5"/>
  <c r="D28" i="5"/>
  <c r="C28" i="5"/>
  <c r="E27" i="5"/>
  <c r="D27" i="5"/>
  <c r="C27" i="5"/>
  <c r="E26" i="5"/>
  <c r="D26" i="5"/>
  <c r="C26" i="5"/>
  <c r="E25" i="5"/>
  <c r="D25" i="5"/>
  <c r="C25" i="5"/>
  <c r="E24" i="5"/>
  <c r="D24" i="5"/>
  <c r="C24" i="5"/>
  <c r="L20" i="5"/>
  <c r="K20" i="5"/>
  <c r="K28" i="5" s="1"/>
  <c r="L19" i="5"/>
  <c r="L27" i="5" s="1"/>
  <c r="K19" i="5"/>
  <c r="L18" i="5"/>
  <c r="K18" i="5"/>
  <c r="L17" i="5"/>
  <c r="K17" i="5"/>
  <c r="L16" i="5"/>
  <c r="K16" i="5"/>
  <c r="C52" i="5" l="1"/>
  <c r="E53" i="5"/>
  <c r="E61" i="5" s="1"/>
  <c r="K26" i="5"/>
  <c r="K27" i="5"/>
  <c r="F27" i="5"/>
  <c r="L26" i="5"/>
  <c r="F24" i="5"/>
  <c r="K24" i="5"/>
  <c r="L24" i="5"/>
  <c r="L28" i="5"/>
  <c r="M27" i="5" s="1"/>
  <c r="K25" i="5"/>
  <c r="E62" i="5"/>
  <c r="L25" i="5"/>
  <c r="C56" i="5"/>
  <c r="K56" i="5" s="1"/>
  <c r="E56" i="5"/>
  <c r="E64" i="5" s="1"/>
  <c r="C54" i="5"/>
  <c r="K54" i="5" s="1"/>
  <c r="E55" i="5"/>
  <c r="E63" i="5" s="1"/>
  <c r="E52" i="5"/>
  <c r="E60" i="5" s="1"/>
  <c r="D52" i="5"/>
  <c r="D60" i="5" s="1"/>
  <c r="F52" i="5"/>
  <c r="K52" i="5"/>
  <c r="C60" i="5"/>
  <c r="C55" i="5"/>
  <c r="D56" i="5"/>
  <c r="C53" i="5"/>
  <c r="D54" i="5"/>
  <c r="D53" i="5"/>
  <c r="D55" i="5"/>
  <c r="C62" i="5" l="1"/>
  <c r="F54" i="5"/>
  <c r="C64" i="5"/>
  <c r="K64" i="5" s="1"/>
  <c r="F56" i="5"/>
  <c r="L60" i="5"/>
  <c r="L72" i="5" s="1"/>
  <c r="M24" i="5"/>
  <c r="L52" i="5"/>
  <c r="M52" i="5" s="1"/>
  <c r="K62" i="5"/>
  <c r="L54" i="5"/>
  <c r="M54" i="5" s="1"/>
  <c r="D62" i="5"/>
  <c r="L62" i="5" s="1"/>
  <c r="L74" i="5" s="1"/>
  <c r="L55" i="5"/>
  <c r="D63" i="5"/>
  <c r="L63" i="5" s="1"/>
  <c r="L75" i="5" s="1"/>
  <c r="D61" i="5"/>
  <c r="L61" i="5" s="1"/>
  <c r="L73" i="5" s="1"/>
  <c r="L53" i="5"/>
  <c r="K53" i="5"/>
  <c r="M53" i="5" s="1"/>
  <c r="F53" i="5"/>
  <c r="C61" i="5"/>
  <c r="L56" i="5"/>
  <c r="M56" i="5" s="1"/>
  <c r="D64" i="5"/>
  <c r="L64" i="5" s="1"/>
  <c r="L76" i="5" s="1"/>
  <c r="C63" i="5"/>
  <c r="K55" i="5"/>
  <c r="F55" i="5"/>
  <c r="K60" i="5"/>
  <c r="F60" i="5"/>
  <c r="F62" i="5" l="1"/>
  <c r="M55" i="5"/>
  <c r="L78" i="5"/>
  <c r="F63" i="5"/>
  <c r="K63" i="5"/>
  <c r="M62" i="5"/>
  <c r="K74" i="5"/>
  <c r="M74" i="5" s="1"/>
  <c r="F64" i="5"/>
  <c r="K61" i="5"/>
  <c r="F61" i="5"/>
  <c r="G60" i="5" s="1"/>
  <c r="M64" i="5"/>
  <c r="K76" i="5"/>
  <c r="M76" i="5" s="1"/>
  <c r="K72" i="5"/>
  <c r="M60" i="5"/>
  <c r="M63" i="5" l="1"/>
  <c r="N63" i="5" s="1"/>
  <c r="K75" i="5"/>
  <c r="M75" i="5" s="1"/>
  <c r="G63" i="5"/>
  <c r="M61" i="5"/>
  <c r="K73" i="5"/>
  <c r="M73" i="5" s="1"/>
  <c r="M72" i="5"/>
  <c r="N60" i="5"/>
  <c r="K78" i="5" l="1"/>
</calcChain>
</file>

<file path=xl/sharedStrings.xml><?xml version="1.0" encoding="utf-8"?>
<sst xmlns="http://schemas.openxmlformats.org/spreadsheetml/2006/main" count="166" uniqueCount="35">
  <si>
    <t>RIN01</t>
  </si>
  <si>
    <t>RIN02</t>
  </si>
  <si>
    <t>RIN03</t>
  </si>
  <si>
    <t>RIN04</t>
  </si>
  <si>
    <t>RIN05</t>
  </si>
  <si>
    <t>HH01</t>
  </si>
  <si>
    <t>HH02</t>
  </si>
  <si>
    <t>BO01</t>
  </si>
  <si>
    <t>BO02</t>
  </si>
  <si>
    <t>BO03</t>
  </si>
  <si>
    <t>act01</t>
  </si>
  <si>
    <t>act02.1</t>
  </si>
  <si>
    <t>act02.2</t>
  </si>
  <si>
    <t>mapping</t>
  </si>
  <si>
    <t>Total</t>
  </si>
  <si>
    <t>average carbon intensity / activity</t>
  </si>
  <si>
    <t>Total HH</t>
  </si>
  <si>
    <t>relative mapping</t>
  </si>
  <si>
    <t>household emissions / activity</t>
  </si>
  <si>
    <t>individual timeuse</t>
  </si>
  <si>
    <t>individual timeuse (relative to household)</t>
  </si>
  <si>
    <t>individual emissions / activity</t>
  </si>
  <si>
    <t>carbon intensity / grouped activity</t>
  </si>
  <si>
    <t>household emissions</t>
  </si>
  <si>
    <r>
      <t xml:space="preserve">(2) </t>
    </r>
    <r>
      <rPr>
        <b/>
        <u/>
        <sz val="14"/>
        <color rgb="FF391A05"/>
        <rFont val="Calibri"/>
        <family val="2"/>
        <scheme val="minor"/>
      </rPr>
      <t>Timeuse</t>
    </r>
  </si>
  <si>
    <r>
      <t xml:space="preserve">(3) Mapping </t>
    </r>
    <r>
      <rPr>
        <b/>
        <u/>
        <sz val="14"/>
        <color rgb="FF391A05"/>
        <rFont val="Calibri"/>
        <family val="2"/>
        <scheme val="minor"/>
      </rPr>
      <t>expenditures</t>
    </r>
    <r>
      <rPr>
        <b/>
        <sz val="14"/>
        <color rgb="FF391A05"/>
        <rFont val="Calibri"/>
        <family val="2"/>
        <scheme val="minor"/>
      </rPr>
      <t xml:space="preserve"> to </t>
    </r>
    <r>
      <rPr>
        <b/>
        <u/>
        <sz val="14"/>
        <color rgb="FF391A05"/>
        <rFont val="Calibri"/>
        <family val="2"/>
        <scheme val="minor"/>
      </rPr>
      <t>timeuse</t>
    </r>
  </si>
  <si>
    <r>
      <t xml:space="preserve">(1) Emissions per </t>
    </r>
    <r>
      <rPr>
        <b/>
        <u/>
        <sz val="14"/>
        <color rgb="FF391A05"/>
        <rFont val="Calibri"/>
        <family val="2"/>
        <scheme val="minor"/>
      </rPr>
      <t>expenditure</t>
    </r>
  </si>
  <si>
    <r>
      <t xml:space="preserve">(4) Emissions per </t>
    </r>
    <r>
      <rPr>
        <b/>
        <u/>
        <sz val="14"/>
        <color rgb="FF391A05"/>
        <rFont val="Calibri"/>
        <family val="2"/>
        <scheme val="minor"/>
      </rPr>
      <t>timeuse</t>
    </r>
    <r>
      <rPr>
        <b/>
        <sz val="14"/>
        <color rgb="FF391A05"/>
        <rFont val="Calibri"/>
        <family val="2"/>
        <scheme val="minor"/>
      </rPr>
      <t xml:space="preserve"> activity</t>
    </r>
  </si>
  <si>
    <t>act02</t>
  </si>
  <si>
    <t>grouped individual timeuse</t>
  </si>
  <si>
    <t>grouped individual timeuse (relative to household)</t>
  </si>
  <si>
    <t>Average</t>
  </si>
  <si>
    <r>
      <t xml:space="preserve">(5) Carbon intensity per grouped </t>
    </r>
    <r>
      <rPr>
        <b/>
        <u/>
        <sz val="14"/>
        <color rgb="FF391A05"/>
        <rFont val="Calibri"/>
        <family val="2"/>
        <scheme val="minor"/>
      </rPr>
      <t>timeuse</t>
    </r>
    <r>
      <rPr>
        <b/>
        <sz val="14"/>
        <color rgb="FF391A05"/>
        <rFont val="Calibri"/>
        <family val="2"/>
        <scheme val="minor"/>
      </rPr>
      <t xml:space="preserve"> activity</t>
    </r>
  </si>
  <si>
    <r>
      <t xml:space="preserve">(2grp) Grouped </t>
    </r>
    <r>
      <rPr>
        <b/>
        <u/>
        <sz val="14"/>
        <color rgb="FF391A05"/>
        <rFont val="Calibri"/>
        <family val="2"/>
        <scheme val="minor"/>
      </rPr>
      <t>timeuse</t>
    </r>
  </si>
  <si>
    <r>
      <t xml:space="preserve">(4grp) Emissions per grouped </t>
    </r>
    <r>
      <rPr>
        <b/>
        <u/>
        <sz val="14"/>
        <color rgb="FF391A05"/>
        <rFont val="Calibri"/>
        <family val="2"/>
        <scheme val="minor"/>
      </rPr>
      <t>timeuse</t>
    </r>
    <r>
      <rPr>
        <b/>
        <sz val="14"/>
        <color rgb="FF391A05"/>
        <rFont val="Calibri"/>
        <family val="2"/>
        <scheme val="minor"/>
      </rPr>
      <t xml:space="preserve"> activity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</si>
</sst>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\ &quot;kg&quot;"/>
    <numFmt numFmtId="165" formatCode="0\ &quot;kg&quot;"/>
    <numFmt numFmtId="167" formatCode="0\ &quot;h&quot;"/>
    <numFmt numFmtId="169" formatCode="0.00\ &quot;kg/h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391A05"/>
      <name val="Calibri"/>
      <family val="2"/>
      <scheme val="minor"/>
    </font>
    <font>
      <b/>
      <u/>
      <sz val="14"/>
      <color rgb="FF391A0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3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vertical="center"/>
    </xf>
    <xf numFmtId="2" fontId="0" fillId="3" borderId="3" xfId="0" applyNumberFormat="1" applyFill="1" applyBorder="1" applyAlignment="1">
      <alignment vertical="center"/>
    </xf>
    <xf numFmtId="2" fontId="0" fillId="4" borderId="4" xfId="0" applyNumberFormat="1" applyFill="1" applyBorder="1" applyAlignment="1">
      <alignment vertical="center"/>
    </xf>
    <xf numFmtId="2" fontId="0" fillId="4" borderId="0" xfId="0" applyNumberFormat="1" applyFill="1" applyBorder="1" applyAlignment="1">
      <alignment vertical="center"/>
    </xf>
    <xf numFmtId="165" fontId="0" fillId="0" borderId="0" xfId="0" applyNumberFormat="1" applyBorder="1" applyAlignment="1">
      <alignment vertical="center"/>
    </xf>
    <xf numFmtId="165" fontId="0" fillId="0" borderId="5" xfId="0" applyNumberFormat="1" applyBorder="1" applyAlignment="1">
      <alignment vertical="center"/>
    </xf>
    <xf numFmtId="2" fontId="0" fillId="4" borderId="6" xfId="0" applyNumberFormat="1" applyFill="1" applyBorder="1" applyAlignment="1">
      <alignment vertical="center"/>
    </xf>
    <xf numFmtId="2" fontId="0" fillId="4" borderId="7" xfId="0" applyNumberFormat="1" applyFill="1" applyBorder="1" applyAlignment="1">
      <alignment vertical="center"/>
    </xf>
    <xf numFmtId="165" fontId="0" fillId="0" borderId="7" xfId="0" applyNumberFormat="1" applyBorder="1" applyAlignment="1">
      <alignment vertical="center"/>
    </xf>
    <xf numFmtId="165" fontId="0" fillId="0" borderId="8" xfId="0" applyNumberFormat="1" applyBorder="1" applyAlignment="1">
      <alignment vertical="center"/>
    </xf>
    <xf numFmtId="2" fontId="0" fillId="5" borderId="2" xfId="0" applyNumberFormat="1" applyFill="1" applyBorder="1" applyAlignment="1">
      <alignment vertical="center"/>
    </xf>
    <xf numFmtId="2" fontId="0" fillId="5" borderId="3" xfId="0" applyNumberFormat="1" applyFill="1" applyBorder="1" applyAlignment="1">
      <alignment vertical="center"/>
    </xf>
    <xf numFmtId="167" fontId="0" fillId="0" borderId="0" xfId="0" applyNumberFormat="1" applyBorder="1" applyAlignment="1">
      <alignment vertical="center"/>
    </xf>
    <xf numFmtId="167" fontId="0" fillId="0" borderId="5" xfId="0" applyNumberFormat="1" applyBorder="1" applyAlignment="1">
      <alignment vertical="center"/>
    </xf>
    <xf numFmtId="167" fontId="0" fillId="0" borderId="7" xfId="0" applyNumberFormat="1" applyBorder="1" applyAlignment="1">
      <alignment vertical="center"/>
    </xf>
    <xf numFmtId="167" fontId="0" fillId="0" borderId="8" xfId="0" applyNumberFormat="1" applyBorder="1" applyAlignment="1">
      <alignment vertical="center"/>
    </xf>
    <xf numFmtId="2" fontId="2" fillId="0" borderId="3" xfId="0" applyNumberFormat="1" applyFont="1" applyBorder="1" applyAlignment="1">
      <alignment vertical="center"/>
    </xf>
    <xf numFmtId="9" fontId="0" fillId="0" borderId="0" xfId="1" applyFont="1" applyBorder="1" applyAlignment="1">
      <alignment vertical="center"/>
    </xf>
    <xf numFmtId="9" fontId="0" fillId="0" borderId="5" xfId="1" applyFont="1" applyBorder="1" applyAlignment="1">
      <alignment vertical="center"/>
    </xf>
    <xf numFmtId="2" fontId="2" fillId="0" borderId="0" xfId="0" applyNumberFormat="1" applyFont="1" applyAlignment="1">
      <alignment vertical="center"/>
    </xf>
    <xf numFmtId="164" fontId="0" fillId="0" borderId="0" xfId="0" applyNumberFormat="1" applyBorder="1" applyAlignment="1">
      <alignment vertical="center"/>
    </xf>
    <xf numFmtId="9" fontId="0" fillId="0" borderId="7" xfId="1" applyFont="1" applyBorder="1" applyAlignment="1">
      <alignment vertical="center"/>
    </xf>
    <xf numFmtId="9" fontId="0" fillId="0" borderId="8" xfId="1" applyFont="1" applyBorder="1" applyAlignment="1">
      <alignment vertical="center"/>
    </xf>
    <xf numFmtId="2" fontId="0" fillId="3" borderId="4" xfId="0" applyNumberFormat="1" applyFill="1" applyBorder="1" applyAlignment="1">
      <alignment horizontal="center" vertical="center"/>
    </xf>
    <xf numFmtId="2" fontId="0" fillId="3" borderId="0" xfId="0" applyNumberFormat="1" applyFill="1" applyBorder="1" applyAlignment="1">
      <alignment horizontal="center" vertical="center"/>
    </xf>
    <xf numFmtId="1" fontId="0" fillId="0" borderId="0" xfId="0" applyNumberFormat="1" applyBorder="1" applyAlignment="1">
      <alignment vertical="center"/>
    </xf>
    <xf numFmtId="1" fontId="0" fillId="0" borderId="5" xfId="0" applyNumberFormat="1" applyBorder="1" applyAlignment="1">
      <alignment vertical="center"/>
    </xf>
    <xf numFmtId="2" fontId="0" fillId="3" borderId="6" xfId="0" applyNumberForma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1" fontId="0" fillId="0" borderId="7" xfId="0" applyNumberFormat="1" applyBorder="1" applyAlignment="1">
      <alignment vertical="center"/>
    </xf>
    <xf numFmtId="1" fontId="0" fillId="0" borderId="8" xfId="0" applyNumberFormat="1" applyBorder="1" applyAlignment="1">
      <alignment vertical="center"/>
    </xf>
    <xf numFmtId="2" fontId="0" fillId="0" borderId="0" xfId="0" applyNumberFormat="1" applyBorder="1" applyAlignment="1">
      <alignment vertical="center"/>
    </xf>
    <xf numFmtId="2" fontId="0" fillId="0" borderId="5" xfId="0" applyNumberFormat="1" applyBorder="1" applyAlignment="1">
      <alignment vertical="center"/>
    </xf>
    <xf numFmtId="2" fontId="0" fillId="0" borderId="7" xfId="0" applyNumberFormat="1" applyBorder="1" applyAlignment="1">
      <alignment vertical="center"/>
    </xf>
    <xf numFmtId="2" fontId="0" fillId="0" borderId="8" xfId="0" applyNumberFormat="1" applyBorder="1" applyAlignment="1">
      <alignment vertical="center"/>
    </xf>
    <xf numFmtId="2" fontId="2" fillId="0" borderId="9" xfId="0" applyNumberFormat="1" applyFont="1" applyFill="1" applyBorder="1" applyAlignment="1">
      <alignment vertical="center"/>
    </xf>
    <xf numFmtId="164" fontId="0" fillId="0" borderId="10" xfId="0" applyNumberFormat="1" applyBorder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0" borderId="11" xfId="0" applyNumberForma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164" fontId="0" fillId="0" borderId="5" xfId="0" applyNumberFormat="1" applyBorder="1" applyAlignment="1">
      <alignment vertical="center"/>
    </xf>
    <xf numFmtId="164" fontId="0" fillId="0" borderId="8" xfId="0" applyNumberFormat="1" applyBorder="1" applyAlignment="1">
      <alignment vertical="center"/>
    </xf>
    <xf numFmtId="2" fontId="2" fillId="0" borderId="9" xfId="0" applyNumberFormat="1" applyFont="1" applyBorder="1" applyAlignment="1">
      <alignment vertical="center"/>
    </xf>
    <xf numFmtId="169" fontId="0" fillId="0" borderId="0" xfId="0" applyNumberFormat="1" applyBorder="1" applyAlignment="1">
      <alignment vertical="center"/>
    </xf>
    <xf numFmtId="169" fontId="0" fillId="0" borderId="5" xfId="0" applyNumberFormat="1" applyBorder="1" applyAlignment="1">
      <alignment vertical="center"/>
    </xf>
    <xf numFmtId="169" fontId="0" fillId="0" borderId="10" xfId="0" applyNumberFormat="1" applyBorder="1" applyAlignment="1">
      <alignment vertical="center"/>
    </xf>
    <xf numFmtId="169" fontId="0" fillId="0" borderId="7" xfId="0" applyNumberFormat="1" applyBorder="1" applyAlignment="1">
      <alignment vertical="center"/>
    </xf>
    <xf numFmtId="169" fontId="0" fillId="0" borderId="8" xfId="0" applyNumberFormat="1" applyBorder="1" applyAlignment="1">
      <alignment vertical="center"/>
    </xf>
    <xf numFmtId="169" fontId="0" fillId="0" borderId="11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169" fontId="0" fillId="0" borderId="0" xfId="0" applyNumberFormat="1" applyAlignment="1">
      <alignment vertical="center"/>
    </xf>
    <xf numFmtId="2" fontId="0" fillId="2" borderId="12" xfId="0" applyNumberFormat="1" applyFill="1" applyBorder="1" applyAlignment="1">
      <alignment horizontal="center" vertical="center"/>
    </xf>
    <xf numFmtId="2" fontId="0" fillId="2" borderId="13" xfId="0" applyNumberFormat="1" applyFill="1" applyBorder="1" applyAlignment="1">
      <alignment horizontal="center" vertical="center"/>
    </xf>
    <xf numFmtId="169" fontId="0" fillId="0" borderId="13" xfId="0" applyNumberFormat="1" applyBorder="1" applyAlignment="1">
      <alignment vertical="center"/>
    </xf>
    <xf numFmtId="169" fontId="0" fillId="0" borderId="14" xfId="0" applyNumberForma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91A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600B-695A-4141-B81D-38B21515C785}">
  <dimension ref="A1:N78"/>
  <sheetViews>
    <sheetView tabSelected="1" zoomScale="70" zoomScaleNormal="70" workbookViewId="0">
      <selection activeCell="Q76" sqref="Q76"/>
    </sheetView>
  </sheetViews>
  <sheetFormatPr defaultColWidth="15.7109375" defaultRowHeight="20.100000000000001" customHeight="1" x14ac:dyDescent="0.25"/>
  <cols>
    <col min="1" max="2" width="25.7109375" style="2" customWidth="1"/>
    <col min="3" max="8" width="15.7109375" style="2"/>
    <col min="9" max="10" width="25.7109375" style="2" customWidth="1"/>
    <col min="11" max="16384" width="15.7109375" style="2"/>
  </cols>
  <sheetData>
    <row r="1" spans="1:13" ht="24.95" customHeight="1" x14ac:dyDescent="0.25">
      <c r="A1" s="1" t="s">
        <v>26</v>
      </c>
      <c r="B1" s="1"/>
      <c r="C1" s="1"/>
      <c r="D1" s="1"/>
      <c r="E1" s="1"/>
    </row>
    <row r="2" spans="1:13" ht="20.100000000000001" customHeight="1" thickBot="1" x14ac:dyDescent="0.3"/>
    <row r="3" spans="1:13" ht="20.100000000000001" customHeight="1" x14ac:dyDescent="0.25">
      <c r="A3" s="3" t="s">
        <v>23</v>
      </c>
      <c r="B3" s="4"/>
      <c r="C3" s="5" t="s">
        <v>7</v>
      </c>
      <c r="D3" s="5" t="s">
        <v>8</v>
      </c>
      <c r="E3" s="6" t="s">
        <v>9</v>
      </c>
    </row>
    <row r="4" spans="1:13" ht="20.100000000000001" customHeight="1" x14ac:dyDescent="0.25">
      <c r="A4" s="7" t="s">
        <v>0</v>
      </c>
      <c r="B4" s="8" t="s">
        <v>5</v>
      </c>
      <c r="C4" s="9">
        <v>100</v>
      </c>
      <c r="D4" s="9">
        <v>50</v>
      </c>
      <c r="E4" s="10">
        <v>10</v>
      </c>
    </row>
    <row r="5" spans="1:13" ht="20.100000000000001" customHeight="1" x14ac:dyDescent="0.25">
      <c r="A5" s="7" t="s">
        <v>1</v>
      </c>
      <c r="B5" s="8" t="s">
        <v>5</v>
      </c>
      <c r="C5" s="9">
        <v>100</v>
      </c>
      <c r="D5" s="9">
        <v>50</v>
      </c>
      <c r="E5" s="10">
        <v>10</v>
      </c>
    </row>
    <row r="6" spans="1:13" ht="20.100000000000001" customHeight="1" x14ac:dyDescent="0.25">
      <c r="A6" s="7" t="s">
        <v>2</v>
      </c>
      <c r="B6" s="8" t="s">
        <v>5</v>
      </c>
      <c r="C6" s="9">
        <v>100</v>
      </c>
      <c r="D6" s="9">
        <v>50</v>
      </c>
      <c r="E6" s="10">
        <v>10</v>
      </c>
    </row>
    <row r="7" spans="1:13" ht="20.100000000000001" customHeight="1" x14ac:dyDescent="0.25">
      <c r="A7" s="7" t="s">
        <v>3</v>
      </c>
      <c r="B7" s="8" t="s">
        <v>6</v>
      </c>
      <c r="C7" s="9">
        <v>80</v>
      </c>
      <c r="D7" s="9">
        <v>40</v>
      </c>
      <c r="E7" s="10">
        <v>30</v>
      </c>
    </row>
    <row r="8" spans="1:13" ht="20.100000000000001" customHeight="1" thickBot="1" x14ac:dyDescent="0.3">
      <c r="A8" s="11" t="s">
        <v>4</v>
      </c>
      <c r="B8" s="12" t="s">
        <v>6</v>
      </c>
      <c r="C8" s="13">
        <v>80</v>
      </c>
      <c r="D8" s="13">
        <v>40</v>
      </c>
      <c r="E8" s="14">
        <v>30</v>
      </c>
    </row>
    <row r="13" spans="1:13" ht="24.95" customHeight="1" x14ac:dyDescent="0.25">
      <c r="A13" s="1" t="s">
        <v>24</v>
      </c>
      <c r="B13" s="1"/>
      <c r="C13" s="1"/>
      <c r="D13" s="1"/>
      <c r="E13" s="1"/>
      <c r="I13" s="1" t="s">
        <v>33</v>
      </c>
      <c r="J13" s="1"/>
      <c r="K13" s="1"/>
      <c r="L13" s="1"/>
      <c r="M13" s="1"/>
    </row>
    <row r="14" spans="1:13" ht="20.100000000000001" customHeight="1" thickBot="1" x14ac:dyDescent="0.3"/>
    <row r="15" spans="1:13" ht="20.100000000000001" customHeight="1" x14ac:dyDescent="0.25">
      <c r="A15" s="3" t="s">
        <v>19</v>
      </c>
      <c r="B15" s="4"/>
      <c r="C15" s="15" t="s">
        <v>10</v>
      </c>
      <c r="D15" s="15" t="s">
        <v>11</v>
      </c>
      <c r="E15" s="16" t="s">
        <v>12</v>
      </c>
      <c r="I15" s="3" t="s">
        <v>29</v>
      </c>
      <c r="J15" s="4"/>
      <c r="K15" s="15" t="s">
        <v>10</v>
      </c>
      <c r="L15" s="16" t="s">
        <v>28</v>
      </c>
    </row>
    <row r="16" spans="1:13" ht="20.100000000000001" customHeight="1" x14ac:dyDescent="0.25">
      <c r="A16" s="7" t="s">
        <v>0</v>
      </c>
      <c r="B16" s="8" t="s">
        <v>5</v>
      </c>
      <c r="C16" s="17">
        <v>20</v>
      </c>
      <c r="D16" s="17">
        <v>10</v>
      </c>
      <c r="E16" s="18">
        <v>15</v>
      </c>
      <c r="I16" s="7" t="s">
        <v>0</v>
      </c>
      <c r="J16" s="8" t="s">
        <v>5</v>
      </c>
      <c r="K16" s="17">
        <f>C16</f>
        <v>20</v>
      </c>
      <c r="L16" s="18">
        <f>D16+E16</f>
        <v>25</v>
      </c>
    </row>
    <row r="17" spans="1:13" ht="20.100000000000001" customHeight="1" x14ac:dyDescent="0.25">
      <c r="A17" s="7" t="s">
        <v>1</v>
      </c>
      <c r="B17" s="8" t="s">
        <v>5</v>
      </c>
      <c r="C17" s="17">
        <v>20</v>
      </c>
      <c r="D17" s="17">
        <v>15</v>
      </c>
      <c r="E17" s="18">
        <v>0</v>
      </c>
      <c r="I17" s="7" t="s">
        <v>1</v>
      </c>
      <c r="J17" s="8" t="s">
        <v>5</v>
      </c>
      <c r="K17" s="17">
        <f>C17</f>
        <v>20</v>
      </c>
      <c r="L17" s="18">
        <f>D17+E17</f>
        <v>15</v>
      </c>
    </row>
    <row r="18" spans="1:13" ht="20.100000000000001" customHeight="1" x14ac:dyDescent="0.25">
      <c r="A18" s="7" t="s">
        <v>2</v>
      </c>
      <c r="B18" s="8" t="s">
        <v>5</v>
      </c>
      <c r="C18" s="17">
        <v>5</v>
      </c>
      <c r="D18" s="17">
        <v>5</v>
      </c>
      <c r="E18" s="18">
        <v>25</v>
      </c>
      <c r="I18" s="7" t="s">
        <v>2</v>
      </c>
      <c r="J18" s="8" t="s">
        <v>5</v>
      </c>
      <c r="K18" s="17">
        <f>C18</f>
        <v>5</v>
      </c>
      <c r="L18" s="18">
        <f>D18+E18</f>
        <v>30</v>
      </c>
    </row>
    <row r="19" spans="1:13" ht="20.100000000000001" customHeight="1" x14ac:dyDescent="0.25">
      <c r="A19" s="7" t="s">
        <v>3</v>
      </c>
      <c r="B19" s="8" t="s">
        <v>6</v>
      </c>
      <c r="C19" s="17">
        <v>20</v>
      </c>
      <c r="D19" s="17">
        <v>0</v>
      </c>
      <c r="E19" s="18">
        <v>10</v>
      </c>
      <c r="I19" s="7" t="s">
        <v>3</v>
      </c>
      <c r="J19" s="8" t="s">
        <v>6</v>
      </c>
      <c r="K19" s="17">
        <f>C19</f>
        <v>20</v>
      </c>
      <c r="L19" s="18">
        <f>D19+E19</f>
        <v>10</v>
      </c>
    </row>
    <row r="20" spans="1:13" ht="20.100000000000001" customHeight="1" thickBot="1" x14ac:dyDescent="0.3">
      <c r="A20" s="11" t="s">
        <v>4</v>
      </c>
      <c r="B20" s="12" t="s">
        <v>6</v>
      </c>
      <c r="C20" s="19">
        <v>20</v>
      </c>
      <c r="D20" s="19">
        <v>30</v>
      </c>
      <c r="E20" s="20">
        <v>5</v>
      </c>
      <c r="I20" s="11" t="s">
        <v>4</v>
      </c>
      <c r="J20" s="12" t="s">
        <v>6</v>
      </c>
      <c r="K20" s="19">
        <f>C20</f>
        <v>20</v>
      </c>
      <c r="L20" s="20">
        <f>D20+E20</f>
        <v>35</v>
      </c>
    </row>
    <row r="22" spans="1:13" ht="20.100000000000001" customHeight="1" thickBot="1" x14ac:dyDescent="0.3"/>
    <row r="23" spans="1:13" ht="20.100000000000001" customHeight="1" x14ac:dyDescent="0.25">
      <c r="A23" s="3" t="s">
        <v>20</v>
      </c>
      <c r="B23" s="4"/>
      <c r="C23" s="15" t="s">
        <v>10</v>
      </c>
      <c r="D23" s="15" t="s">
        <v>11</v>
      </c>
      <c r="E23" s="16" t="s">
        <v>12</v>
      </c>
      <c r="F23" s="21" t="s">
        <v>16</v>
      </c>
      <c r="I23" s="3" t="s">
        <v>30</v>
      </c>
      <c r="J23" s="4"/>
      <c r="K23" s="15" t="s">
        <v>10</v>
      </c>
      <c r="L23" s="16" t="s">
        <v>28</v>
      </c>
      <c r="M23" s="21" t="s">
        <v>16</v>
      </c>
    </row>
    <row r="24" spans="1:13" ht="20.100000000000001" customHeight="1" x14ac:dyDescent="0.25">
      <c r="A24" s="7" t="s">
        <v>0</v>
      </c>
      <c r="B24" s="8" t="s">
        <v>5</v>
      </c>
      <c r="C24" s="22">
        <f>C16/SUM(C$16:C$18)</f>
        <v>0.44444444444444442</v>
      </c>
      <c r="D24" s="22">
        <f>D16/SUM(D$16:D$18)</f>
        <v>0.33333333333333331</v>
      </c>
      <c r="E24" s="23">
        <f>E16/SUM(E$16:E$18)</f>
        <v>0.375</v>
      </c>
      <c r="F24" s="23">
        <f>E24+E25+E26</f>
        <v>1</v>
      </c>
      <c r="I24" s="7" t="s">
        <v>0</v>
      </c>
      <c r="J24" s="8" t="s">
        <v>5</v>
      </c>
      <c r="K24" s="22">
        <f>K16/SUM(K$16:K$18)</f>
        <v>0.44444444444444442</v>
      </c>
      <c r="L24" s="23">
        <f>L16/SUM(L$16:L$18)</f>
        <v>0.35714285714285715</v>
      </c>
      <c r="M24" s="23">
        <f>L24+L25+L26</f>
        <v>1</v>
      </c>
    </row>
    <row r="25" spans="1:13" ht="20.100000000000001" customHeight="1" x14ac:dyDescent="0.25">
      <c r="A25" s="7" t="s">
        <v>1</v>
      </c>
      <c r="B25" s="8" t="s">
        <v>5</v>
      </c>
      <c r="C25" s="22">
        <f>C17/SUM(C$16:C$18)</f>
        <v>0.44444444444444442</v>
      </c>
      <c r="D25" s="22">
        <f>D17/SUM(D$16:D$18)</f>
        <v>0.5</v>
      </c>
      <c r="E25" s="23">
        <f>E17/SUM(E$16:E$18)</f>
        <v>0</v>
      </c>
      <c r="F25" s="23"/>
      <c r="G25" s="24"/>
      <c r="I25" s="7" t="s">
        <v>1</v>
      </c>
      <c r="J25" s="8" t="s">
        <v>5</v>
      </c>
      <c r="K25" s="22">
        <f>K17/SUM(K$16:K$18)</f>
        <v>0.44444444444444442</v>
      </c>
      <c r="L25" s="23">
        <f>L17/SUM(L$16:L$18)</f>
        <v>0.21428571428571427</v>
      </c>
      <c r="M25" s="23"/>
    </row>
    <row r="26" spans="1:13" ht="20.100000000000001" customHeight="1" x14ac:dyDescent="0.25">
      <c r="A26" s="7" t="s">
        <v>2</v>
      </c>
      <c r="B26" s="8" t="s">
        <v>5</v>
      </c>
      <c r="C26" s="22">
        <f>C18/SUM(C$16:C$18)</f>
        <v>0.1111111111111111</v>
      </c>
      <c r="D26" s="22">
        <f>D18/SUM(D$16:D$18)</f>
        <v>0.16666666666666666</v>
      </c>
      <c r="E26" s="23">
        <f>E18/SUM(E$16:E$18)</f>
        <v>0.625</v>
      </c>
      <c r="F26" s="23"/>
      <c r="G26" s="25"/>
      <c r="I26" s="7" t="s">
        <v>2</v>
      </c>
      <c r="J26" s="8" t="s">
        <v>5</v>
      </c>
      <c r="K26" s="22">
        <f>K18/SUM(K$16:K$18)</f>
        <v>0.1111111111111111</v>
      </c>
      <c r="L26" s="23">
        <f>L18/SUM(L$16:L$18)</f>
        <v>0.42857142857142855</v>
      </c>
      <c r="M26" s="23"/>
    </row>
    <row r="27" spans="1:13" ht="20.100000000000001" customHeight="1" x14ac:dyDescent="0.25">
      <c r="A27" s="7" t="s">
        <v>3</v>
      </c>
      <c r="B27" s="8" t="s">
        <v>6</v>
      </c>
      <c r="C27" s="22">
        <f>C19/SUM(C$19:C$20)</f>
        <v>0.5</v>
      </c>
      <c r="D27" s="22">
        <f>D19/SUM(D$19:D$20)</f>
        <v>0</v>
      </c>
      <c r="E27" s="23">
        <f>E19/SUM(E$19:E$20)</f>
        <v>0.66666666666666663</v>
      </c>
      <c r="F27" s="23">
        <f>E27+E28</f>
        <v>1</v>
      </c>
      <c r="G27" s="25"/>
      <c r="I27" s="7" t="s">
        <v>3</v>
      </c>
      <c r="J27" s="8" t="s">
        <v>6</v>
      </c>
      <c r="K27" s="22">
        <f>K19/SUM(K$19:K$20)</f>
        <v>0.5</v>
      </c>
      <c r="L27" s="23">
        <f>L19/SUM(L$19:L$20)</f>
        <v>0.22222222222222221</v>
      </c>
      <c r="M27" s="23">
        <f>L27+L28</f>
        <v>1</v>
      </c>
    </row>
    <row r="28" spans="1:13" ht="20.100000000000001" customHeight="1" thickBot="1" x14ac:dyDescent="0.3">
      <c r="A28" s="11" t="s">
        <v>4</v>
      </c>
      <c r="B28" s="12" t="s">
        <v>6</v>
      </c>
      <c r="C28" s="26">
        <f>C20/SUM(C$19:C$20)</f>
        <v>0.5</v>
      </c>
      <c r="D28" s="26">
        <f>D20/SUM(D$19:D$20)</f>
        <v>1</v>
      </c>
      <c r="E28" s="27">
        <f>E20/SUM(E$19:E$20)</f>
        <v>0.33333333333333331</v>
      </c>
      <c r="F28" s="27"/>
      <c r="G28" s="25"/>
      <c r="I28" s="11" t="s">
        <v>4</v>
      </c>
      <c r="J28" s="12" t="s">
        <v>6</v>
      </c>
      <c r="K28" s="26">
        <f>K20/SUM(K$19:K$20)</f>
        <v>0.5</v>
      </c>
      <c r="L28" s="27">
        <f>L20/SUM(L$19:L$20)</f>
        <v>0.77777777777777779</v>
      </c>
      <c r="M28" s="27"/>
    </row>
    <row r="33" spans="1:5" ht="24.95" customHeight="1" x14ac:dyDescent="0.25">
      <c r="A33" s="1" t="s">
        <v>25</v>
      </c>
      <c r="B33" s="1"/>
      <c r="C33" s="1"/>
      <c r="D33" s="1"/>
      <c r="E33" s="1"/>
    </row>
    <row r="34" spans="1:5" ht="20.100000000000001" customHeight="1" thickBot="1" x14ac:dyDescent="0.3"/>
    <row r="35" spans="1:5" ht="20.100000000000001" customHeight="1" x14ac:dyDescent="0.25">
      <c r="A35" s="3" t="s">
        <v>13</v>
      </c>
      <c r="B35" s="4"/>
      <c r="C35" s="15" t="s">
        <v>10</v>
      </c>
      <c r="D35" s="15" t="s">
        <v>11</v>
      </c>
      <c r="E35" s="16" t="s">
        <v>12</v>
      </c>
    </row>
    <row r="36" spans="1:5" ht="20.100000000000001" customHeight="1" x14ac:dyDescent="0.25">
      <c r="A36" s="28" t="s">
        <v>7</v>
      </c>
      <c r="B36" s="29"/>
      <c r="C36" s="30">
        <v>1</v>
      </c>
      <c r="D36" s="30">
        <v>0</v>
      </c>
      <c r="E36" s="31">
        <v>0</v>
      </c>
    </row>
    <row r="37" spans="1:5" ht="20.100000000000001" customHeight="1" x14ac:dyDescent="0.25">
      <c r="A37" s="28" t="s">
        <v>8</v>
      </c>
      <c r="B37" s="29"/>
      <c r="C37" s="30">
        <v>1</v>
      </c>
      <c r="D37" s="30">
        <v>1</v>
      </c>
      <c r="E37" s="31">
        <v>1</v>
      </c>
    </row>
    <row r="38" spans="1:5" ht="20.100000000000001" customHeight="1" thickBot="1" x14ac:dyDescent="0.3">
      <c r="A38" s="32" t="s">
        <v>9</v>
      </c>
      <c r="B38" s="33"/>
      <c r="C38" s="34">
        <v>1</v>
      </c>
      <c r="D38" s="34">
        <v>1</v>
      </c>
      <c r="E38" s="35">
        <v>0</v>
      </c>
    </row>
    <row r="40" spans="1:5" ht="20.100000000000001" customHeight="1" thickBot="1" x14ac:dyDescent="0.3"/>
    <row r="41" spans="1:5" ht="20.100000000000001" customHeight="1" x14ac:dyDescent="0.25">
      <c r="A41" s="3" t="s">
        <v>17</v>
      </c>
      <c r="B41" s="4"/>
      <c r="C41" s="15" t="s">
        <v>10</v>
      </c>
      <c r="D41" s="15" t="s">
        <v>11</v>
      </c>
      <c r="E41" s="16" t="s">
        <v>12</v>
      </c>
    </row>
    <row r="42" spans="1:5" ht="20.100000000000001" customHeight="1" x14ac:dyDescent="0.25">
      <c r="A42" s="28" t="s">
        <v>7</v>
      </c>
      <c r="B42" s="29"/>
      <c r="C42" s="36">
        <f>C36/SUM($C36:$E36)</f>
        <v>1</v>
      </c>
      <c r="D42" s="36">
        <f>D36/SUM($C36:$E36)</f>
        <v>0</v>
      </c>
      <c r="E42" s="37">
        <f>E36/SUM($C36:$E36)</f>
        <v>0</v>
      </c>
    </row>
    <row r="43" spans="1:5" ht="20.100000000000001" customHeight="1" x14ac:dyDescent="0.25">
      <c r="A43" s="28" t="s">
        <v>8</v>
      </c>
      <c r="B43" s="29"/>
      <c r="C43" s="36">
        <f>C37/SUM($C37:$E37)</f>
        <v>0.33333333333333331</v>
      </c>
      <c r="D43" s="36">
        <f>D37/SUM($C37:$E37)</f>
        <v>0.33333333333333331</v>
      </c>
      <c r="E43" s="37">
        <f>E37/SUM($C37:$E37)</f>
        <v>0.33333333333333331</v>
      </c>
    </row>
    <row r="44" spans="1:5" ht="20.100000000000001" customHeight="1" thickBot="1" x14ac:dyDescent="0.3">
      <c r="A44" s="32" t="s">
        <v>9</v>
      </c>
      <c r="B44" s="33"/>
      <c r="C44" s="38">
        <f>C38/SUM($C38:$E38)</f>
        <v>0.5</v>
      </c>
      <c r="D44" s="38">
        <f>D38/SUM($C38:$E38)</f>
        <v>0.5</v>
      </c>
      <c r="E44" s="39">
        <f>E38/SUM($C38:$E38)</f>
        <v>0</v>
      </c>
    </row>
    <row r="49" spans="1:14" ht="24.95" customHeight="1" x14ac:dyDescent="0.25">
      <c r="A49" s="1" t="s">
        <v>27</v>
      </c>
      <c r="B49" s="1"/>
      <c r="C49" s="1"/>
      <c r="D49" s="1"/>
      <c r="E49" s="1"/>
      <c r="I49" s="1" t="s">
        <v>34</v>
      </c>
      <c r="J49" s="1"/>
      <c r="K49" s="1"/>
      <c r="L49" s="1"/>
      <c r="M49" s="1"/>
    </row>
    <row r="50" spans="1:14" ht="20.100000000000001" customHeight="1" thickBot="1" x14ac:dyDescent="0.3"/>
    <row r="51" spans="1:14" ht="20.100000000000001" customHeight="1" x14ac:dyDescent="0.25">
      <c r="A51" s="3" t="s">
        <v>18</v>
      </c>
      <c r="B51" s="4"/>
      <c r="C51" s="15" t="s">
        <v>10</v>
      </c>
      <c r="D51" s="15" t="s">
        <v>11</v>
      </c>
      <c r="E51" s="15" t="s">
        <v>12</v>
      </c>
      <c r="F51" s="40" t="s">
        <v>14</v>
      </c>
      <c r="I51" s="3" t="s">
        <v>18</v>
      </c>
      <c r="J51" s="4"/>
      <c r="K51" s="15" t="s">
        <v>10</v>
      </c>
      <c r="L51" s="15" t="s">
        <v>28</v>
      </c>
      <c r="M51" s="40" t="s">
        <v>14</v>
      </c>
    </row>
    <row r="52" spans="1:14" ht="20.100000000000001" customHeight="1" x14ac:dyDescent="0.25">
      <c r="A52" s="7" t="s">
        <v>0</v>
      </c>
      <c r="B52" s="8" t="s">
        <v>5</v>
      </c>
      <c r="C52" s="25">
        <f>$C4*C$42 + $D4*C$43 + $E4*C$44</f>
        <v>121.66666666666666</v>
      </c>
      <c r="D52" s="25">
        <f>$C4*D$42 + $D4*D$43 + $E4*D$44</f>
        <v>21.666666666666664</v>
      </c>
      <c r="E52" s="25">
        <f>$C4*E$42 + $D4*E$43 + $E4*E$44</f>
        <v>16.666666666666664</v>
      </c>
      <c r="F52" s="41">
        <f>SUM(C52:E52)</f>
        <v>159.99999999999997</v>
      </c>
      <c r="I52" s="7" t="s">
        <v>0</v>
      </c>
      <c r="J52" s="8" t="s">
        <v>5</v>
      </c>
      <c r="K52" s="25">
        <f>C52</f>
        <v>121.66666666666666</v>
      </c>
      <c r="L52" s="25">
        <f>D52+E52</f>
        <v>38.333333333333329</v>
      </c>
      <c r="M52" s="41">
        <f>SUM(K52:L52)</f>
        <v>160</v>
      </c>
    </row>
    <row r="53" spans="1:14" ht="20.100000000000001" customHeight="1" x14ac:dyDescent="0.25">
      <c r="A53" s="7" t="s">
        <v>1</v>
      </c>
      <c r="B53" s="8" t="s">
        <v>5</v>
      </c>
      <c r="C53" s="25">
        <f>$C5*C$42 + $D5*C$43 + $E5*C$44</f>
        <v>121.66666666666666</v>
      </c>
      <c r="D53" s="25">
        <f>$C5*D$42 + $D5*D$43 + $E5*D$44</f>
        <v>21.666666666666664</v>
      </c>
      <c r="E53" s="25">
        <f>$C5*E$42 + $D5*E$43 + $E5*E$44</f>
        <v>16.666666666666664</v>
      </c>
      <c r="F53" s="41">
        <f t="shared" ref="F53:F56" si="0">SUM(C53:E53)</f>
        <v>159.99999999999997</v>
      </c>
      <c r="I53" s="7" t="s">
        <v>1</v>
      </c>
      <c r="J53" s="8" t="s">
        <v>5</v>
      </c>
      <c r="K53" s="25">
        <f>C53</f>
        <v>121.66666666666666</v>
      </c>
      <c r="L53" s="25">
        <f>D53+E53</f>
        <v>38.333333333333329</v>
      </c>
      <c r="M53" s="41">
        <f>SUM(K53:L53)</f>
        <v>160</v>
      </c>
    </row>
    <row r="54" spans="1:14" ht="20.100000000000001" customHeight="1" x14ac:dyDescent="0.25">
      <c r="A54" s="7" t="s">
        <v>2</v>
      </c>
      <c r="B54" s="8" t="s">
        <v>5</v>
      </c>
      <c r="C54" s="25">
        <f>$C6*C$42 + $D6*C$43 + $E6*C$44</f>
        <v>121.66666666666666</v>
      </c>
      <c r="D54" s="25">
        <f>$C6*D$42 + $D6*D$43 + $E6*D$44</f>
        <v>21.666666666666664</v>
      </c>
      <c r="E54" s="25">
        <f>$C6*E$42 + $D6*E$43 + $E6*E$44</f>
        <v>16.666666666666664</v>
      </c>
      <c r="F54" s="41">
        <f t="shared" si="0"/>
        <v>159.99999999999997</v>
      </c>
      <c r="I54" s="7" t="s">
        <v>2</v>
      </c>
      <c r="J54" s="8" t="s">
        <v>5</v>
      </c>
      <c r="K54" s="25">
        <f>C54</f>
        <v>121.66666666666666</v>
      </c>
      <c r="L54" s="25">
        <f>D54+E54</f>
        <v>38.333333333333329</v>
      </c>
      <c r="M54" s="41">
        <f>SUM(K54:L54)</f>
        <v>160</v>
      </c>
    </row>
    <row r="55" spans="1:14" ht="20.100000000000001" customHeight="1" x14ac:dyDescent="0.25">
      <c r="A55" s="7" t="s">
        <v>3</v>
      </c>
      <c r="B55" s="8" t="s">
        <v>6</v>
      </c>
      <c r="C55" s="25">
        <f>$C7*C$42 + $D7*C$43 + $E7*C$44</f>
        <v>108.33333333333333</v>
      </c>
      <c r="D55" s="25">
        <f>$C7*D$42 + $D7*D$43 + $E7*D$44</f>
        <v>28.333333333333332</v>
      </c>
      <c r="E55" s="25">
        <f>$C7*E$42 + $D7*E$43 + $E7*E$44</f>
        <v>13.333333333333332</v>
      </c>
      <c r="F55" s="41">
        <f t="shared" si="0"/>
        <v>150</v>
      </c>
      <c r="I55" s="7" t="s">
        <v>3</v>
      </c>
      <c r="J55" s="8" t="s">
        <v>6</v>
      </c>
      <c r="K55" s="25">
        <f>C55</f>
        <v>108.33333333333333</v>
      </c>
      <c r="L55" s="25">
        <f>D55+E55</f>
        <v>41.666666666666664</v>
      </c>
      <c r="M55" s="41">
        <f>SUM(K55:L55)</f>
        <v>150</v>
      </c>
    </row>
    <row r="56" spans="1:14" ht="20.100000000000001" customHeight="1" thickBot="1" x14ac:dyDescent="0.3">
      <c r="A56" s="11" t="s">
        <v>4</v>
      </c>
      <c r="B56" s="12" t="s">
        <v>6</v>
      </c>
      <c r="C56" s="42">
        <f>$C8*C$42 + $D8*C$43 + $E8*C$44</f>
        <v>108.33333333333333</v>
      </c>
      <c r="D56" s="42">
        <f>$C8*D$42 + $D8*D$43 + $E8*D$44</f>
        <v>28.333333333333332</v>
      </c>
      <c r="E56" s="42">
        <f>$C8*E$42 + $D8*E$43 + $E8*E$44</f>
        <v>13.333333333333332</v>
      </c>
      <c r="F56" s="43">
        <f t="shared" si="0"/>
        <v>150</v>
      </c>
      <c r="I56" s="11" t="s">
        <v>4</v>
      </c>
      <c r="J56" s="12" t="s">
        <v>6</v>
      </c>
      <c r="K56" s="42">
        <f>C56</f>
        <v>108.33333333333333</v>
      </c>
      <c r="L56" s="42">
        <f>D56+E56</f>
        <v>41.666666666666664</v>
      </c>
      <c r="M56" s="43">
        <f>SUM(K56:L56)</f>
        <v>150</v>
      </c>
    </row>
    <row r="58" spans="1:14" ht="20.100000000000001" customHeight="1" thickBot="1" x14ac:dyDescent="0.3"/>
    <row r="59" spans="1:14" ht="20.100000000000001" customHeight="1" x14ac:dyDescent="0.25">
      <c r="A59" s="3" t="s">
        <v>21</v>
      </c>
      <c r="B59" s="4"/>
      <c r="C59" s="15" t="s">
        <v>10</v>
      </c>
      <c r="D59" s="15" t="s">
        <v>11</v>
      </c>
      <c r="E59" s="16" t="s">
        <v>12</v>
      </c>
      <c r="F59" s="44" t="s">
        <v>14</v>
      </c>
      <c r="G59" s="21" t="s">
        <v>16</v>
      </c>
      <c r="I59" s="3" t="s">
        <v>21</v>
      </c>
      <c r="J59" s="4"/>
      <c r="K59" s="15" t="s">
        <v>10</v>
      </c>
      <c r="L59" s="16" t="s">
        <v>28</v>
      </c>
      <c r="M59" s="44" t="s">
        <v>14</v>
      </c>
      <c r="N59" s="21" t="s">
        <v>16</v>
      </c>
    </row>
    <row r="60" spans="1:14" ht="20.100000000000001" customHeight="1" x14ac:dyDescent="0.25">
      <c r="A60" s="7" t="s">
        <v>0</v>
      </c>
      <c r="B60" s="8" t="s">
        <v>5</v>
      </c>
      <c r="C60" s="25">
        <f>C52*C24</f>
        <v>54.074074074074069</v>
      </c>
      <c r="D60" s="25">
        <f>D52*D24</f>
        <v>7.2222222222222214</v>
      </c>
      <c r="E60" s="45">
        <f>E52*E24</f>
        <v>6.2499999999999991</v>
      </c>
      <c r="F60" s="25">
        <f>SUM(C60:E60)</f>
        <v>67.546296296296291</v>
      </c>
      <c r="G60" s="45">
        <f>F60+F61+F62</f>
        <v>160</v>
      </c>
      <c r="I60" s="7" t="s">
        <v>0</v>
      </c>
      <c r="J60" s="8" t="s">
        <v>5</v>
      </c>
      <c r="K60" s="25">
        <f>C60</f>
        <v>54.074074074074069</v>
      </c>
      <c r="L60" s="45">
        <f>D60+E60</f>
        <v>13.472222222222221</v>
      </c>
      <c r="M60" s="25">
        <f>SUM(K60:L60)</f>
        <v>67.546296296296291</v>
      </c>
      <c r="N60" s="45">
        <f>M60+M61+M62</f>
        <v>160</v>
      </c>
    </row>
    <row r="61" spans="1:14" ht="20.100000000000001" customHeight="1" x14ac:dyDescent="0.25">
      <c r="A61" s="7" t="s">
        <v>1</v>
      </c>
      <c r="B61" s="8" t="s">
        <v>5</v>
      </c>
      <c r="C61" s="25">
        <f>C53*C25</f>
        <v>54.074074074074069</v>
      </c>
      <c r="D61" s="25">
        <f>D53*D25</f>
        <v>10.833333333333332</v>
      </c>
      <c r="E61" s="45">
        <f>E53*E25</f>
        <v>0</v>
      </c>
      <c r="F61" s="25">
        <f t="shared" ref="F61:F64" si="1">SUM(C61:E61)</f>
        <v>64.907407407407405</v>
      </c>
      <c r="G61" s="45"/>
      <c r="I61" s="7" t="s">
        <v>1</v>
      </c>
      <c r="J61" s="8" t="s">
        <v>5</v>
      </c>
      <c r="K61" s="25">
        <f>C61</f>
        <v>54.074074074074069</v>
      </c>
      <c r="L61" s="45">
        <f>D61+E61</f>
        <v>10.833333333333332</v>
      </c>
      <c r="M61" s="25">
        <f>SUM(K61:L61)</f>
        <v>64.907407407407405</v>
      </c>
      <c r="N61" s="45"/>
    </row>
    <row r="62" spans="1:14" ht="20.100000000000001" customHeight="1" x14ac:dyDescent="0.25">
      <c r="A62" s="7" t="s">
        <v>2</v>
      </c>
      <c r="B62" s="8" t="s">
        <v>5</v>
      </c>
      <c r="C62" s="25">
        <f>C54*C26</f>
        <v>13.518518518518517</v>
      </c>
      <c r="D62" s="25">
        <f>D54*D26</f>
        <v>3.6111111111111107</v>
      </c>
      <c r="E62" s="45">
        <f>E54*E26</f>
        <v>10.416666666666664</v>
      </c>
      <c r="F62" s="25">
        <f t="shared" si="1"/>
        <v>27.546296296296291</v>
      </c>
      <c r="G62" s="45"/>
      <c r="I62" s="7" t="s">
        <v>2</v>
      </c>
      <c r="J62" s="8" t="s">
        <v>5</v>
      </c>
      <c r="K62" s="25">
        <f>C62</f>
        <v>13.518518518518517</v>
      </c>
      <c r="L62" s="45">
        <f>D62+E62</f>
        <v>14.027777777777775</v>
      </c>
      <c r="M62" s="25">
        <f>SUM(K62:L62)</f>
        <v>27.546296296296291</v>
      </c>
      <c r="N62" s="45"/>
    </row>
    <row r="63" spans="1:14" ht="20.100000000000001" customHeight="1" x14ac:dyDescent="0.25">
      <c r="A63" s="7" t="s">
        <v>3</v>
      </c>
      <c r="B63" s="8" t="s">
        <v>6</v>
      </c>
      <c r="C63" s="25">
        <f>C55*C27</f>
        <v>54.166666666666664</v>
      </c>
      <c r="D63" s="25">
        <f>D55*D27</f>
        <v>0</v>
      </c>
      <c r="E63" s="45">
        <f>E55*E27</f>
        <v>8.8888888888888875</v>
      </c>
      <c r="F63" s="25">
        <f t="shared" si="1"/>
        <v>63.05555555555555</v>
      </c>
      <c r="G63" s="45">
        <f>F63+F64</f>
        <v>150</v>
      </c>
      <c r="I63" s="7" t="s">
        <v>3</v>
      </c>
      <c r="J63" s="8" t="s">
        <v>6</v>
      </c>
      <c r="K63" s="25">
        <f>C63</f>
        <v>54.166666666666664</v>
      </c>
      <c r="L63" s="45">
        <f>D63+E63</f>
        <v>8.8888888888888875</v>
      </c>
      <c r="M63" s="25">
        <f>SUM(K63:L63)</f>
        <v>63.05555555555555</v>
      </c>
      <c r="N63" s="45">
        <f>M63+M64</f>
        <v>150</v>
      </c>
    </row>
    <row r="64" spans="1:14" ht="20.100000000000001" customHeight="1" thickBot="1" x14ac:dyDescent="0.3">
      <c r="A64" s="11" t="s">
        <v>4</v>
      </c>
      <c r="B64" s="12" t="s">
        <v>6</v>
      </c>
      <c r="C64" s="42">
        <f>C56*C28</f>
        <v>54.166666666666664</v>
      </c>
      <c r="D64" s="42">
        <f>D56*D28</f>
        <v>28.333333333333332</v>
      </c>
      <c r="E64" s="46">
        <f>E56*E28</f>
        <v>4.4444444444444438</v>
      </c>
      <c r="F64" s="42">
        <f t="shared" si="1"/>
        <v>86.944444444444443</v>
      </c>
      <c r="G64" s="46"/>
      <c r="I64" s="11" t="s">
        <v>4</v>
      </c>
      <c r="J64" s="12" t="s">
        <v>6</v>
      </c>
      <c r="K64" s="42">
        <f>C64</f>
        <v>54.166666666666664</v>
      </c>
      <c r="L64" s="46">
        <f>D64+E64</f>
        <v>32.777777777777779</v>
      </c>
      <c r="M64" s="42">
        <f>SUM(K64:L64)</f>
        <v>86.944444444444443</v>
      </c>
      <c r="N64" s="46"/>
    </row>
    <row r="69" spans="9:13" ht="24.95" customHeight="1" x14ac:dyDescent="0.25">
      <c r="I69" s="1" t="s">
        <v>32</v>
      </c>
      <c r="J69" s="1"/>
      <c r="K69" s="1"/>
      <c r="L69" s="1"/>
      <c r="M69" s="1"/>
    </row>
    <row r="70" spans="9:13" ht="20.100000000000001" customHeight="1" thickBot="1" x14ac:dyDescent="0.3"/>
    <row r="71" spans="9:13" ht="20.100000000000001" customHeight="1" x14ac:dyDescent="0.25">
      <c r="I71" s="3" t="s">
        <v>22</v>
      </c>
      <c r="J71" s="4"/>
      <c r="K71" s="15" t="s">
        <v>10</v>
      </c>
      <c r="L71" s="16" t="s">
        <v>28</v>
      </c>
      <c r="M71" s="47" t="s">
        <v>31</v>
      </c>
    </row>
    <row r="72" spans="9:13" ht="20.100000000000001" customHeight="1" x14ac:dyDescent="0.25">
      <c r="I72" s="7" t="s">
        <v>0</v>
      </c>
      <c r="J72" s="8" t="s">
        <v>5</v>
      </c>
      <c r="K72" s="48">
        <f>IFERROR(K60/K16, "NA")</f>
        <v>2.7037037037037033</v>
      </c>
      <c r="L72" s="49">
        <f>IFERROR(L60/L16, "NA")</f>
        <v>0.53888888888888886</v>
      </c>
      <c r="M72" s="50">
        <f>AVERAGE(K72:L72)</f>
        <v>1.621296296296296</v>
      </c>
    </row>
    <row r="73" spans="9:13" ht="20.100000000000001" customHeight="1" x14ac:dyDescent="0.25">
      <c r="I73" s="7" t="s">
        <v>1</v>
      </c>
      <c r="J73" s="8" t="s">
        <v>5</v>
      </c>
      <c r="K73" s="48">
        <f>IFERROR(K61/K17, "NA")</f>
        <v>2.7037037037037033</v>
      </c>
      <c r="L73" s="49">
        <f>IFERROR(L61/L17, "NA")</f>
        <v>0.7222222222222221</v>
      </c>
      <c r="M73" s="50">
        <f t="shared" ref="M73:M76" si="2">AVERAGE(K73:L73)</f>
        <v>1.7129629629629628</v>
      </c>
    </row>
    <row r="74" spans="9:13" ht="20.100000000000001" customHeight="1" x14ac:dyDescent="0.25">
      <c r="I74" s="7" t="s">
        <v>2</v>
      </c>
      <c r="J74" s="8" t="s">
        <v>5</v>
      </c>
      <c r="K74" s="48">
        <f>IFERROR(K62/K18, "NA")</f>
        <v>2.7037037037037033</v>
      </c>
      <c r="L74" s="49">
        <f>IFERROR(L62/L18, "NA")</f>
        <v>0.4675925925925925</v>
      </c>
      <c r="M74" s="50">
        <f t="shared" si="2"/>
        <v>1.5856481481481479</v>
      </c>
    </row>
    <row r="75" spans="9:13" ht="20.100000000000001" customHeight="1" x14ac:dyDescent="0.25">
      <c r="I75" s="7" t="s">
        <v>3</v>
      </c>
      <c r="J75" s="8" t="s">
        <v>6</v>
      </c>
      <c r="K75" s="48">
        <f>IFERROR(K63/K19, "NA")</f>
        <v>2.708333333333333</v>
      </c>
      <c r="L75" s="49">
        <f>IFERROR(L63/L19, "NA")</f>
        <v>0.88888888888888873</v>
      </c>
      <c r="M75" s="50">
        <f t="shared" si="2"/>
        <v>1.7986111111111109</v>
      </c>
    </row>
    <row r="76" spans="9:13" ht="20.100000000000001" customHeight="1" thickBot="1" x14ac:dyDescent="0.3">
      <c r="I76" s="11" t="s">
        <v>4</v>
      </c>
      <c r="J76" s="12" t="s">
        <v>6</v>
      </c>
      <c r="K76" s="51">
        <f>IFERROR(K64/K20, "NA")</f>
        <v>2.708333333333333</v>
      </c>
      <c r="L76" s="52">
        <f>IFERROR(L64/L20, "NA")</f>
        <v>0.93650793650793651</v>
      </c>
      <c r="M76" s="53">
        <f t="shared" si="2"/>
        <v>1.8224206349206349</v>
      </c>
    </row>
    <row r="77" spans="9:13" ht="20.100000000000001" customHeight="1" thickBot="1" x14ac:dyDescent="0.3">
      <c r="I77" s="54"/>
      <c r="J77" s="54"/>
      <c r="K77" s="55"/>
      <c r="L77" s="55"/>
    </row>
    <row r="78" spans="9:13" ht="20.100000000000001" customHeight="1" thickBot="1" x14ac:dyDescent="0.3">
      <c r="I78" s="56" t="s">
        <v>15</v>
      </c>
      <c r="J78" s="57"/>
      <c r="K78" s="58">
        <f>AVERAGE(K72:K76)</f>
        <v>2.7055555555555548</v>
      </c>
      <c r="L78" s="59">
        <f t="shared" ref="L78" si="3">AVERAGE(L72:L76)</f>
        <v>0.7108201058201058</v>
      </c>
    </row>
  </sheetData>
  <mergeCells count="26">
    <mergeCell ref="A59:B59"/>
    <mergeCell ref="I59:J59"/>
    <mergeCell ref="A44:B44"/>
    <mergeCell ref="I69:M69"/>
    <mergeCell ref="I71:J71"/>
    <mergeCell ref="I78:J78"/>
    <mergeCell ref="A36:B36"/>
    <mergeCell ref="A37:B37"/>
    <mergeCell ref="A38:B38"/>
    <mergeCell ref="A41:B41"/>
    <mergeCell ref="A42:B42"/>
    <mergeCell ref="A43:B43"/>
    <mergeCell ref="A23:B23"/>
    <mergeCell ref="I23:J23"/>
    <mergeCell ref="A33:E33"/>
    <mergeCell ref="A49:E49"/>
    <mergeCell ref="I49:M49"/>
    <mergeCell ref="A35:B35"/>
    <mergeCell ref="A51:B51"/>
    <mergeCell ref="I51:J51"/>
    <mergeCell ref="A1:E1"/>
    <mergeCell ref="A13:E13"/>
    <mergeCell ref="I13:M13"/>
    <mergeCell ref="A3:B3"/>
    <mergeCell ref="A15:B15"/>
    <mergeCell ref="I15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calc_emissions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Weiper, M.L.V. (Maike)</dc:creator>
  <cp:lastModifiedBy>Weiper, M.L.V. (Maike)</cp:lastModifiedBy>
  <dcterms:created xsi:type="dcterms:W3CDTF">2025-11-27T09:02:22Z</dcterms:created>
  <dcterms:modified xsi:type="dcterms:W3CDTF">2025-11-28T09:56:52Z</dcterms:modified>
</cp:coreProperties>
</file>