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olisservices-my.sharepoint.com/personal/m_l_v_weiper_uu_nl/Documents/Documents/Research/Study - TIME/Code/time_emissions/src/analyse/"/>
    </mc:Choice>
  </mc:AlternateContent>
  <xr:revisionPtr revIDLastSave="182" documentId="8_{4FF9338A-AAD8-4E6E-AC06-9A8E87A5FB82}" xr6:coauthVersionLast="47" xr6:coauthVersionMax="47" xr10:uidLastSave="{C39A5A3E-F49E-4E7E-A987-BAEB87230226}"/>
  <bookViews>
    <workbookView xWindow="-120" yWindow="-120" windowWidth="29040" windowHeight="15720" xr2:uid="{D49DF03E-9E8D-4AE6-B566-67A5C0DAD1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" i="1" l="1"/>
  <c r="L46" i="1" s="1"/>
  <c r="L41" i="1"/>
  <c r="L42" i="1"/>
  <c r="L43" i="1"/>
  <c r="L44" i="1"/>
  <c r="K41" i="1"/>
  <c r="K42" i="1"/>
  <c r="K43" i="1"/>
  <c r="K44" i="1"/>
  <c r="K40" i="1"/>
  <c r="K46" i="1" s="1"/>
  <c r="D40" i="1"/>
  <c r="E40" i="1"/>
  <c r="D41" i="1"/>
  <c r="E41" i="1"/>
  <c r="D42" i="1"/>
  <c r="E42" i="1"/>
  <c r="D43" i="1"/>
  <c r="E43" i="1"/>
  <c r="D44" i="1"/>
  <c r="E44" i="1"/>
  <c r="C41" i="1"/>
  <c r="C42" i="1"/>
  <c r="C43" i="1"/>
  <c r="C44" i="1"/>
  <c r="C40" i="1"/>
  <c r="S27" i="1"/>
  <c r="D35" i="1" s="1"/>
  <c r="T27" i="1"/>
  <c r="E35" i="1" s="1"/>
  <c r="S28" i="1"/>
  <c r="D36" i="1" s="1"/>
  <c r="L36" i="1" s="1"/>
  <c r="T28" i="1"/>
  <c r="E36" i="1" s="1"/>
  <c r="R28" i="1"/>
  <c r="C36" i="1" s="1"/>
  <c r="R27" i="1"/>
  <c r="C35" i="1" s="1"/>
  <c r="F33" i="1"/>
  <c r="F34" i="1"/>
  <c r="F32" i="1"/>
  <c r="G32" i="1" s="1"/>
  <c r="D32" i="1"/>
  <c r="E32" i="1"/>
  <c r="D33" i="1"/>
  <c r="E33" i="1"/>
  <c r="L33" i="1" s="1"/>
  <c r="D34" i="1"/>
  <c r="E34" i="1"/>
  <c r="L34" i="1" s="1"/>
  <c r="C33" i="1"/>
  <c r="C34" i="1"/>
  <c r="C32" i="1"/>
  <c r="K32" i="1" s="1"/>
  <c r="F17" i="1"/>
  <c r="F18" i="1"/>
  <c r="F19" i="1"/>
  <c r="F20" i="1"/>
  <c r="F16" i="1"/>
  <c r="C17" i="1"/>
  <c r="D17" i="1"/>
  <c r="L17" i="1" s="1"/>
  <c r="E17" i="1"/>
  <c r="C18" i="1"/>
  <c r="D18" i="1"/>
  <c r="L18" i="1" s="1"/>
  <c r="E18" i="1"/>
  <c r="C19" i="1"/>
  <c r="D19" i="1"/>
  <c r="L19" i="1" s="1"/>
  <c r="M19" i="1" s="1"/>
  <c r="E19" i="1"/>
  <c r="C20" i="1"/>
  <c r="K20" i="1" s="1"/>
  <c r="D20" i="1"/>
  <c r="L20" i="1" s="1"/>
  <c r="E20" i="1"/>
  <c r="D16" i="1"/>
  <c r="E16" i="1"/>
  <c r="L16" i="1" s="1"/>
  <c r="C16" i="1"/>
  <c r="S24" i="1"/>
  <c r="T24" i="1"/>
  <c r="S25" i="1"/>
  <c r="T25" i="1"/>
  <c r="S26" i="1"/>
  <c r="T26" i="1"/>
  <c r="R25" i="1"/>
  <c r="R26" i="1"/>
  <c r="R24" i="1"/>
  <c r="S10" i="1"/>
  <c r="T10" i="1"/>
  <c r="S11" i="1"/>
  <c r="T11" i="1"/>
  <c r="S12" i="1"/>
  <c r="T12" i="1"/>
  <c r="R11" i="1"/>
  <c r="R12" i="1"/>
  <c r="R10" i="1"/>
  <c r="U3" i="1"/>
  <c r="U4" i="1"/>
  <c r="U5" i="1"/>
  <c r="U6" i="1"/>
  <c r="U2" i="1"/>
  <c r="V5" i="1"/>
  <c r="S2" i="1"/>
  <c r="T2" i="1"/>
  <c r="S3" i="1"/>
  <c r="T3" i="1"/>
  <c r="S4" i="1"/>
  <c r="T4" i="1"/>
  <c r="S5" i="1"/>
  <c r="T5" i="1"/>
  <c r="S6" i="1"/>
  <c r="T6" i="1"/>
  <c r="R6" i="1"/>
  <c r="R5" i="1"/>
  <c r="R3" i="1"/>
  <c r="R4" i="1"/>
  <c r="R2" i="1"/>
  <c r="D46" i="1"/>
  <c r="E46" i="1"/>
  <c r="K34" i="1"/>
  <c r="K33" i="1"/>
  <c r="L32" i="1"/>
  <c r="L28" i="1"/>
  <c r="K28" i="1"/>
  <c r="M28" i="1" s="1"/>
  <c r="L27" i="1"/>
  <c r="K27" i="1"/>
  <c r="L26" i="1"/>
  <c r="K26" i="1"/>
  <c r="M26" i="1" s="1"/>
  <c r="L25" i="1"/>
  <c r="K25" i="1"/>
  <c r="M25" i="1" s="1"/>
  <c r="L24" i="1"/>
  <c r="K24" i="1"/>
  <c r="K17" i="1"/>
  <c r="K18" i="1"/>
  <c r="M18" i="1" s="1"/>
  <c r="K19" i="1"/>
  <c r="K16" i="1"/>
  <c r="C46" i="1" l="1"/>
  <c r="L35" i="1"/>
  <c r="K36" i="1"/>
  <c r="M36" i="1" s="1"/>
  <c r="F36" i="1"/>
  <c r="K35" i="1"/>
  <c r="F35" i="1"/>
  <c r="M34" i="1"/>
  <c r="M32" i="1"/>
  <c r="M33" i="1"/>
  <c r="N32" i="1"/>
  <c r="M27" i="1"/>
  <c r="M24" i="1"/>
  <c r="M17" i="1"/>
  <c r="M20" i="1"/>
  <c r="M16" i="1"/>
  <c r="V2" i="1"/>
  <c r="M35" i="1" l="1"/>
  <c r="N35" i="1" s="1"/>
  <c r="G35" i="1"/>
</calcChain>
</file>

<file path=xl/sharedStrings.xml><?xml version="1.0" encoding="utf-8"?>
<sst xmlns="http://schemas.openxmlformats.org/spreadsheetml/2006/main" count="175" uniqueCount="27">
  <si>
    <t>RIN01</t>
  </si>
  <si>
    <t>RIN02</t>
  </si>
  <si>
    <t>RIN03</t>
  </si>
  <si>
    <t>RIN04</t>
  </si>
  <si>
    <t>RIN05</t>
  </si>
  <si>
    <t>HH01</t>
  </si>
  <si>
    <t>HH02</t>
  </si>
  <si>
    <t>BO01</t>
  </si>
  <si>
    <t>BO02</t>
  </si>
  <si>
    <t>BO03</t>
  </si>
  <si>
    <t>act01</t>
  </si>
  <si>
    <t>act02.1</t>
  </si>
  <si>
    <t>act02.2</t>
  </si>
  <si>
    <t>emissions (from expenditures HH)</t>
  </si>
  <si>
    <t>mapping</t>
  </si>
  <si>
    <t>emissions / activity (HH)</t>
  </si>
  <si>
    <t>Total</t>
  </si>
  <si>
    <t>timeuse (ind)</t>
  </si>
  <si>
    <t>emissions / activity (ind)</t>
  </si>
  <si>
    <t>average carbon intensity / activity</t>
  </si>
  <si>
    <t>carbon intensity / activity (ind)</t>
  </si>
  <si>
    <t>emissions / grouped activity (HH)</t>
  </si>
  <si>
    <t>grouped timeuse (ind)</t>
  </si>
  <si>
    <t>emissions / grouped activity (ind)</t>
  </si>
  <si>
    <t>carbon intensity / grouped activity (ind)</t>
  </si>
  <si>
    <t>Total HH</t>
  </si>
  <si>
    <t>emissions / expenditure (ind; avg)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</si>
</sst>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2" fontId="0" fillId="2" borderId="1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3" borderId="2" xfId="0" applyNumberFormat="1" applyFill="1" applyBorder="1"/>
    <xf numFmtId="2" fontId="0" fillId="3" borderId="3" xfId="0" applyNumberFormat="1" applyFill="1" applyBorder="1"/>
    <xf numFmtId="2" fontId="0" fillId="0" borderId="0" xfId="0" applyNumberFormat="1"/>
    <xf numFmtId="2" fontId="0" fillId="0" borderId="0" xfId="0" applyNumberFormat="1" applyBorder="1"/>
    <xf numFmtId="2" fontId="0" fillId="2" borderId="0" xfId="0" applyNumberFormat="1" applyFill="1" applyBorder="1" applyAlignment="1">
      <alignment horizontal="center"/>
    </xf>
    <xf numFmtId="2" fontId="0" fillId="3" borderId="0" xfId="0" applyNumberFormat="1" applyFill="1" applyBorder="1"/>
    <xf numFmtId="2" fontId="0" fillId="0" borderId="0" xfId="0" applyNumberFormat="1" applyFill="1" applyBorder="1"/>
    <xf numFmtId="2" fontId="0" fillId="4" borderId="4" xfId="0" applyNumberFormat="1" applyFill="1" applyBorder="1"/>
    <xf numFmtId="2" fontId="0" fillId="4" borderId="0" xfId="0" applyNumberFormat="1" applyFill="1" applyBorder="1"/>
    <xf numFmtId="2" fontId="0" fillId="0" borderId="5" xfId="0" applyNumberFormat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0" borderId="7" xfId="0" applyNumberFormat="1" applyBorder="1"/>
    <xf numFmtId="2" fontId="0" fillId="0" borderId="8" xfId="0" applyNumberFormat="1" applyBorder="1"/>
    <xf numFmtId="2" fontId="0" fillId="5" borderId="0" xfId="0" applyNumberFormat="1" applyFill="1" applyBorder="1"/>
    <xf numFmtId="2" fontId="0" fillId="5" borderId="0" xfId="0" applyNumberFormat="1" applyFill="1"/>
    <xf numFmtId="2" fontId="0" fillId="2" borderId="0" xfId="0" applyNumberFormat="1" applyFill="1" applyAlignment="1">
      <alignment horizontal="center"/>
    </xf>
    <xf numFmtId="2" fontId="0" fillId="3" borderId="0" xfId="0" applyNumberForma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12033-161E-4B6D-86BB-35B397BD5C48}">
  <dimension ref="A1:V52"/>
  <sheetViews>
    <sheetView tabSelected="1" zoomScale="85" zoomScaleNormal="85" workbookViewId="0">
      <selection activeCell="Q17" sqref="Q17"/>
    </sheetView>
  </sheetViews>
  <sheetFormatPr defaultRowHeight="15" x14ac:dyDescent="0.25"/>
  <cols>
    <col min="1" max="2" width="25.7109375" style="5" customWidth="1"/>
    <col min="3" max="8" width="9.140625" style="5"/>
    <col min="9" max="10" width="25.7109375" style="5" customWidth="1"/>
    <col min="11" max="15" width="9.140625" style="5"/>
    <col min="16" max="17" width="25.7109375" style="5" customWidth="1"/>
    <col min="18" max="16384" width="9.140625" style="5"/>
  </cols>
  <sheetData>
    <row r="1" spans="1:22" x14ac:dyDescent="0.25">
      <c r="A1" s="1" t="s">
        <v>13</v>
      </c>
      <c r="B1" s="2"/>
      <c r="C1" s="3" t="s">
        <v>7</v>
      </c>
      <c r="D1" s="3" t="s">
        <v>8</v>
      </c>
      <c r="E1" s="4" t="s">
        <v>9</v>
      </c>
      <c r="N1" s="6"/>
      <c r="O1" s="6"/>
      <c r="P1" s="7" t="s">
        <v>26</v>
      </c>
      <c r="Q1" s="7"/>
      <c r="R1" s="8" t="s">
        <v>7</v>
      </c>
      <c r="S1" s="8" t="s">
        <v>8</v>
      </c>
      <c r="T1" s="8" t="s">
        <v>9</v>
      </c>
      <c r="U1" s="9" t="s">
        <v>16</v>
      </c>
      <c r="V1" s="9" t="s">
        <v>25</v>
      </c>
    </row>
    <row r="2" spans="1:22" x14ac:dyDescent="0.25">
      <c r="A2" s="10" t="s">
        <v>0</v>
      </c>
      <c r="B2" s="11" t="s">
        <v>5</v>
      </c>
      <c r="C2" s="6">
        <v>100</v>
      </c>
      <c r="D2" s="6">
        <v>50</v>
      </c>
      <c r="E2" s="12">
        <v>10</v>
      </c>
      <c r="N2" s="6"/>
      <c r="O2" s="6"/>
      <c r="P2" s="11" t="s">
        <v>0</v>
      </c>
      <c r="Q2" s="11" t="s">
        <v>5</v>
      </c>
      <c r="R2" s="6">
        <f>C2/3</f>
        <v>33.333333333333336</v>
      </c>
      <c r="S2" s="6">
        <f t="shared" ref="S2:T4" si="0">D2/3</f>
        <v>16.666666666666668</v>
      </c>
      <c r="T2" s="6">
        <f t="shared" si="0"/>
        <v>3.3333333333333335</v>
      </c>
      <c r="U2" s="5">
        <f>SUM(R2:T2)</f>
        <v>53.333333333333336</v>
      </c>
      <c r="V2" s="5">
        <f>U2+U3+U4</f>
        <v>160</v>
      </c>
    </row>
    <row r="3" spans="1:22" x14ac:dyDescent="0.25">
      <c r="A3" s="10" t="s">
        <v>1</v>
      </c>
      <c r="B3" s="11" t="s">
        <v>5</v>
      </c>
      <c r="C3" s="6">
        <v>100</v>
      </c>
      <c r="D3" s="6">
        <v>50</v>
      </c>
      <c r="E3" s="12">
        <v>10</v>
      </c>
      <c r="N3" s="6"/>
      <c r="O3" s="6"/>
      <c r="P3" s="11" t="s">
        <v>1</v>
      </c>
      <c r="Q3" s="11" t="s">
        <v>5</v>
      </c>
      <c r="R3" s="6">
        <f t="shared" ref="R3:R6" si="1">C3/3</f>
        <v>33.333333333333336</v>
      </c>
      <c r="S3" s="6">
        <f t="shared" si="0"/>
        <v>16.666666666666668</v>
      </c>
      <c r="T3" s="6">
        <f t="shared" si="0"/>
        <v>3.3333333333333335</v>
      </c>
      <c r="U3" s="5">
        <f t="shared" ref="U3:U6" si="2">SUM(R3:T3)</f>
        <v>53.333333333333336</v>
      </c>
    </row>
    <row r="4" spans="1:22" x14ac:dyDescent="0.25">
      <c r="A4" s="10" t="s">
        <v>2</v>
      </c>
      <c r="B4" s="11" t="s">
        <v>5</v>
      </c>
      <c r="C4" s="6">
        <v>100</v>
      </c>
      <c r="D4" s="6">
        <v>50</v>
      </c>
      <c r="E4" s="12">
        <v>10</v>
      </c>
      <c r="N4" s="6"/>
      <c r="O4" s="6"/>
      <c r="P4" s="11" t="s">
        <v>2</v>
      </c>
      <c r="Q4" s="11" t="s">
        <v>5</v>
      </c>
      <c r="R4" s="6">
        <f t="shared" si="1"/>
        <v>33.333333333333336</v>
      </c>
      <c r="S4" s="6">
        <f t="shared" si="0"/>
        <v>16.666666666666668</v>
      </c>
      <c r="T4" s="6">
        <f t="shared" si="0"/>
        <v>3.3333333333333335</v>
      </c>
      <c r="U4" s="5">
        <f t="shared" si="2"/>
        <v>53.333333333333336</v>
      </c>
    </row>
    <row r="5" spans="1:22" x14ac:dyDescent="0.25">
      <c r="A5" s="10" t="s">
        <v>3</v>
      </c>
      <c r="B5" s="11" t="s">
        <v>6</v>
      </c>
      <c r="C5" s="6">
        <v>80</v>
      </c>
      <c r="D5" s="6">
        <v>40</v>
      </c>
      <c r="E5" s="12">
        <v>30</v>
      </c>
      <c r="N5" s="6"/>
      <c r="O5" s="6"/>
      <c r="P5" s="11" t="s">
        <v>3</v>
      </c>
      <c r="Q5" s="11" t="s">
        <v>6</v>
      </c>
      <c r="R5" s="6">
        <f>C5/2</f>
        <v>40</v>
      </c>
      <c r="S5" s="6">
        <f t="shared" ref="S5:T6" si="3">D5/2</f>
        <v>20</v>
      </c>
      <c r="T5" s="6">
        <f t="shared" si="3"/>
        <v>15</v>
      </c>
      <c r="U5" s="5">
        <f t="shared" si="2"/>
        <v>75</v>
      </c>
      <c r="V5" s="5">
        <f>U5+U6</f>
        <v>150</v>
      </c>
    </row>
    <row r="6" spans="1:22" ht="15.75" thickBot="1" x14ac:dyDescent="0.3">
      <c r="A6" s="13" t="s">
        <v>4</v>
      </c>
      <c r="B6" s="14" t="s">
        <v>6</v>
      </c>
      <c r="C6" s="15">
        <v>80</v>
      </c>
      <c r="D6" s="15">
        <v>40</v>
      </c>
      <c r="E6" s="16">
        <v>30</v>
      </c>
      <c r="N6" s="6"/>
      <c r="O6" s="6"/>
      <c r="P6" s="11" t="s">
        <v>4</v>
      </c>
      <c r="Q6" s="11" t="s">
        <v>6</v>
      </c>
      <c r="R6" s="6">
        <f>C6/2</f>
        <v>40</v>
      </c>
      <c r="S6" s="6">
        <f t="shared" si="3"/>
        <v>20</v>
      </c>
      <c r="T6" s="6">
        <f t="shared" si="3"/>
        <v>15</v>
      </c>
      <c r="U6" s="5">
        <f t="shared" si="2"/>
        <v>75</v>
      </c>
    </row>
    <row r="7" spans="1:22" x14ac:dyDescent="0.25">
      <c r="N7" s="6"/>
      <c r="O7" s="6"/>
      <c r="P7" s="6"/>
      <c r="Q7" s="6"/>
      <c r="R7" s="6"/>
      <c r="S7" s="6"/>
      <c r="T7" s="6"/>
      <c r="U7" s="6"/>
    </row>
    <row r="8" spans="1:22" x14ac:dyDescent="0.25">
      <c r="N8" s="6"/>
      <c r="O8" s="6"/>
      <c r="P8" s="6"/>
      <c r="Q8" s="6"/>
      <c r="R8" s="6"/>
      <c r="S8" s="6"/>
      <c r="T8" s="6"/>
      <c r="U8" s="6"/>
    </row>
    <row r="9" spans="1:22" x14ac:dyDescent="0.25">
      <c r="A9" s="7" t="s">
        <v>14</v>
      </c>
      <c r="B9" s="7"/>
      <c r="C9" s="17" t="s">
        <v>10</v>
      </c>
      <c r="D9" s="17" t="s">
        <v>11</v>
      </c>
      <c r="E9" s="18" t="s">
        <v>12</v>
      </c>
      <c r="N9" s="6"/>
      <c r="O9" s="6"/>
      <c r="P9" s="19" t="s">
        <v>14</v>
      </c>
      <c r="Q9" s="19"/>
      <c r="R9" s="18" t="s">
        <v>10</v>
      </c>
      <c r="S9" s="18" t="s">
        <v>11</v>
      </c>
      <c r="T9" s="18" t="s">
        <v>12</v>
      </c>
      <c r="U9" s="6"/>
    </row>
    <row r="10" spans="1:22" x14ac:dyDescent="0.25">
      <c r="A10" s="20" t="s">
        <v>7</v>
      </c>
      <c r="B10" s="20"/>
      <c r="C10" s="6">
        <v>1</v>
      </c>
      <c r="D10" s="6">
        <v>0</v>
      </c>
      <c r="E10" s="5">
        <v>0</v>
      </c>
      <c r="P10" s="21" t="s">
        <v>7</v>
      </c>
      <c r="Q10" s="21"/>
      <c r="R10" s="5">
        <f>C10/SUM($C10:$E10)</f>
        <v>1</v>
      </c>
      <c r="S10" s="5">
        <f t="shared" ref="S10:T12" si="4">D10/SUM($C10:$E10)</f>
        <v>0</v>
      </c>
      <c r="T10" s="5">
        <f t="shared" si="4"/>
        <v>0</v>
      </c>
    </row>
    <row r="11" spans="1:22" x14ac:dyDescent="0.25">
      <c r="A11" s="20" t="s">
        <v>8</v>
      </c>
      <c r="B11" s="20"/>
      <c r="C11" s="6">
        <v>1</v>
      </c>
      <c r="D11" s="6">
        <v>1</v>
      </c>
      <c r="E11" s="5">
        <v>1</v>
      </c>
      <c r="H11" s="6"/>
      <c r="I11" s="6"/>
      <c r="J11" s="6"/>
      <c r="P11" s="21" t="s">
        <v>8</v>
      </c>
      <c r="Q11" s="21"/>
      <c r="R11" s="5">
        <f t="shared" ref="R11:R12" si="5">C11/SUM($C11:$E11)</f>
        <v>0.33333333333333331</v>
      </c>
      <c r="S11" s="5">
        <f t="shared" si="4"/>
        <v>0.33333333333333331</v>
      </c>
      <c r="T11" s="5">
        <f t="shared" si="4"/>
        <v>0.33333333333333331</v>
      </c>
    </row>
    <row r="12" spans="1:22" x14ac:dyDescent="0.25">
      <c r="A12" s="20" t="s">
        <v>9</v>
      </c>
      <c r="B12" s="20"/>
      <c r="C12" s="6">
        <v>0</v>
      </c>
      <c r="D12" s="6">
        <v>1</v>
      </c>
      <c r="E12" s="5">
        <v>1</v>
      </c>
      <c r="H12" s="6"/>
      <c r="I12" s="6"/>
      <c r="J12" s="6"/>
      <c r="P12" s="21" t="s">
        <v>9</v>
      </c>
      <c r="Q12" s="21"/>
      <c r="R12" s="5">
        <f t="shared" si="5"/>
        <v>0</v>
      </c>
      <c r="S12" s="5">
        <f t="shared" si="4"/>
        <v>0.5</v>
      </c>
      <c r="T12" s="5">
        <f t="shared" si="4"/>
        <v>0.5</v>
      </c>
    </row>
    <row r="13" spans="1:22" x14ac:dyDescent="0.25">
      <c r="A13" s="6"/>
      <c r="B13" s="6"/>
      <c r="C13" s="6"/>
      <c r="D13" s="6"/>
      <c r="H13" s="6"/>
      <c r="I13" s="6"/>
      <c r="J13" s="6"/>
    </row>
    <row r="14" spans="1:22" x14ac:dyDescent="0.25">
      <c r="A14" s="6"/>
      <c r="B14" s="6"/>
      <c r="C14" s="6"/>
      <c r="D14" s="6"/>
      <c r="H14" s="6"/>
      <c r="I14" s="6"/>
      <c r="J14" s="6"/>
    </row>
    <row r="15" spans="1:22" x14ac:dyDescent="0.25">
      <c r="A15" s="7" t="s">
        <v>15</v>
      </c>
      <c r="B15" s="7"/>
      <c r="C15" s="17" t="s">
        <v>10</v>
      </c>
      <c r="D15" s="17" t="s">
        <v>11</v>
      </c>
      <c r="E15" s="18" t="s">
        <v>12</v>
      </c>
      <c r="F15" s="22" t="s">
        <v>16</v>
      </c>
      <c r="H15" s="6"/>
      <c r="I15" s="7" t="s">
        <v>21</v>
      </c>
      <c r="J15" s="7"/>
      <c r="K15" s="18" t="s">
        <v>10</v>
      </c>
      <c r="L15" s="18" t="s">
        <v>11</v>
      </c>
      <c r="M15" s="5" t="s">
        <v>16</v>
      </c>
    </row>
    <row r="16" spans="1:22" x14ac:dyDescent="0.25">
      <c r="A16" s="11" t="s">
        <v>0</v>
      </c>
      <c r="B16" s="11" t="s">
        <v>5</v>
      </c>
      <c r="C16" s="6">
        <f>$C2*R$10 + $D2*R$11 + $E2*R$12</f>
        <v>116.66666666666666</v>
      </c>
      <c r="D16" s="6">
        <f t="shared" ref="D16:E16" si="6">$C2*S$10 + $D2*S$11 + $E2*S$12</f>
        <v>21.666666666666664</v>
      </c>
      <c r="E16" s="6">
        <f t="shared" si="6"/>
        <v>21.666666666666664</v>
      </c>
      <c r="F16" s="5">
        <f>SUM(C16:E16)</f>
        <v>159.99999999999997</v>
      </c>
      <c r="H16" s="6"/>
      <c r="I16" s="11" t="s">
        <v>0</v>
      </c>
      <c r="J16" s="11" t="s">
        <v>5</v>
      </c>
      <c r="K16" s="5">
        <f>C16</f>
        <v>116.66666666666666</v>
      </c>
      <c r="L16" s="5">
        <f>D16+E16</f>
        <v>43.333333333333329</v>
      </c>
      <c r="M16" s="5">
        <f>SUM(K16:L16)</f>
        <v>160</v>
      </c>
    </row>
    <row r="17" spans="1:20" x14ac:dyDescent="0.25">
      <c r="A17" s="11" t="s">
        <v>1</v>
      </c>
      <c r="B17" s="11" t="s">
        <v>5</v>
      </c>
      <c r="C17" s="6">
        <f t="shared" ref="C17:C20" si="7">$C3*R$10 + $D3*R$11 + $E3*R$12</f>
        <v>116.66666666666666</v>
      </c>
      <c r="D17" s="6">
        <f t="shared" ref="D17:D20" si="8">$C3*S$10 + $D3*S$11 + $E3*S$12</f>
        <v>21.666666666666664</v>
      </c>
      <c r="E17" s="6">
        <f t="shared" ref="E17:E20" si="9">$C3*T$10 + $D3*T$11 + $E3*T$12</f>
        <v>21.666666666666664</v>
      </c>
      <c r="F17" s="5">
        <f t="shared" ref="F17:F20" si="10">SUM(C17:E17)</f>
        <v>159.99999999999997</v>
      </c>
      <c r="H17" s="6"/>
      <c r="I17" s="11" t="s">
        <v>1</v>
      </c>
      <c r="J17" s="11" t="s">
        <v>5</v>
      </c>
      <c r="K17" s="5">
        <f t="shared" ref="K17:K20" si="11">C17</f>
        <v>116.66666666666666</v>
      </c>
      <c r="L17" s="5">
        <f t="shared" ref="L17:L20" si="12">D17+E17</f>
        <v>43.333333333333329</v>
      </c>
      <c r="M17" s="5">
        <f t="shared" ref="M17:M20" si="13">SUM(K17:L17)</f>
        <v>160</v>
      </c>
    </row>
    <row r="18" spans="1:20" x14ac:dyDescent="0.25">
      <c r="A18" s="11" t="s">
        <v>2</v>
      </c>
      <c r="B18" s="11" t="s">
        <v>5</v>
      </c>
      <c r="C18" s="6">
        <f t="shared" si="7"/>
        <v>116.66666666666666</v>
      </c>
      <c r="D18" s="6">
        <f t="shared" si="8"/>
        <v>21.666666666666664</v>
      </c>
      <c r="E18" s="6">
        <f t="shared" si="9"/>
        <v>21.666666666666664</v>
      </c>
      <c r="F18" s="5">
        <f t="shared" si="10"/>
        <v>159.99999999999997</v>
      </c>
      <c r="H18" s="6"/>
      <c r="I18" s="11" t="s">
        <v>2</v>
      </c>
      <c r="J18" s="11" t="s">
        <v>5</v>
      </c>
      <c r="K18" s="5">
        <f t="shared" si="11"/>
        <v>116.66666666666666</v>
      </c>
      <c r="L18" s="5">
        <f t="shared" si="12"/>
        <v>43.333333333333329</v>
      </c>
      <c r="M18" s="5">
        <f t="shared" si="13"/>
        <v>160</v>
      </c>
    </row>
    <row r="19" spans="1:20" x14ac:dyDescent="0.25">
      <c r="A19" s="11" t="s">
        <v>3</v>
      </c>
      <c r="B19" s="11" t="s">
        <v>6</v>
      </c>
      <c r="C19" s="6">
        <f t="shared" si="7"/>
        <v>93.333333333333329</v>
      </c>
      <c r="D19" s="6">
        <f t="shared" si="8"/>
        <v>28.333333333333332</v>
      </c>
      <c r="E19" s="6">
        <f t="shared" si="9"/>
        <v>28.333333333333332</v>
      </c>
      <c r="F19" s="5">
        <f t="shared" si="10"/>
        <v>150</v>
      </c>
      <c r="H19" s="6"/>
      <c r="I19" s="11" t="s">
        <v>3</v>
      </c>
      <c r="J19" s="11" t="s">
        <v>6</v>
      </c>
      <c r="K19" s="5">
        <f t="shared" si="11"/>
        <v>93.333333333333329</v>
      </c>
      <c r="L19" s="5">
        <f t="shared" si="12"/>
        <v>56.666666666666664</v>
      </c>
      <c r="M19" s="5">
        <f t="shared" si="13"/>
        <v>150</v>
      </c>
    </row>
    <row r="20" spans="1:20" x14ac:dyDescent="0.25">
      <c r="A20" s="11" t="s">
        <v>4</v>
      </c>
      <c r="B20" s="11" t="s">
        <v>6</v>
      </c>
      <c r="C20" s="6">
        <f t="shared" si="7"/>
        <v>93.333333333333329</v>
      </c>
      <c r="D20" s="6">
        <f t="shared" si="8"/>
        <v>28.333333333333332</v>
      </c>
      <c r="E20" s="6">
        <f t="shared" si="9"/>
        <v>28.333333333333332</v>
      </c>
      <c r="F20" s="5">
        <f t="shared" si="10"/>
        <v>150</v>
      </c>
      <c r="H20" s="6"/>
      <c r="I20" s="11" t="s">
        <v>4</v>
      </c>
      <c r="J20" s="11" t="s">
        <v>6</v>
      </c>
      <c r="K20" s="5">
        <f t="shared" si="11"/>
        <v>93.333333333333329</v>
      </c>
      <c r="L20" s="5">
        <f t="shared" si="12"/>
        <v>56.666666666666664</v>
      </c>
      <c r="M20" s="5">
        <f t="shared" si="13"/>
        <v>150</v>
      </c>
    </row>
    <row r="21" spans="1:20" x14ac:dyDescent="0.25">
      <c r="A21" s="6"/>
      <c r="B21" s="6"/>
      <c r="C21" s="6"/>
      <c r="D21" s="6"/>
      <c r="E21" s="6"/>
      <c r="H21" s="6"/>
      <c r="I21" s="6"/>
      <c r="J21" s="6"/>
      <c r="O21" s="6"/>
      <c r="P21" s="6"/>
      <c r="Q21" s="6"/>
    </row>
    <row r="22" spans="1:20" x14ac:dyDescent="0.25">
      <c r="A22" s="6"/>
      <c r="B22" s="6"/>
      <c r="C22" s="6"/>
      <c r="D22" s="6"/>
      <c r="E22" s="6"/>
      <c r="H22" s="6"/>
      <c r="I22" s="6"/>
      <c r="J22" s="6"/>
      <c r="O22" s="6"/>
      <c r="P22" s="6"/>
      <c r="Q22" s="6"/>
    </row>
    <row r="23" spans="1:20" x14ac:dyDescent="0.25">
      <c r="A23" s="7" t="s">
        <v>17</v>
      </c>
      <c r="B23" s="7"/>
      <c r="C23" s="17" t="s">
        <v>10</v>
      </c>
      <c r="D23" s="17" t="s">
        <v>11</v>
      </c>
      <c r="E23" s="17" t="s">
        <v>12</v>
      </c>
      <c r="H23" s="6"/>
      <c r="I23" s="7" t="s">
        <v>22</v>
      </c>
      <c r="J23" s="7"/>
      <c r="K23" s="18" t="s">
        <v>10</v>
      </c>
      <c r="L23" s="18" t="s">
        <v>11</v>
      </c>
      <c r="M23" s="5" t="s">
        <v>16</v>
      </c>
      <c r="O23" s="6"/>
      <c r="P23" s="7" t="s">
        <v>17</v>
      </c>
      <c r="Q23" s="7"/>
      <c r="R23" s="18" t="s">
        <v>10</v>
      </c>
      <c r="S23" s="18" t="s">
        <v>11</v>
      </c>
      <c r="T23" s="18" t="s">
        <v>12</v>
      </c>
    </row>
    <row r="24" spans="1:20" x14ac:dyDescent="0.25">
      <c r="A24" s="11" t="s">
        <v>0</v>
      </c>
      <c r="B24" s="11" t="s">
        <v>5</v>
      </c>
      <c r="C24" s="6">
        <v>20</v>
      </c>
      <c r="D24" s="6">
        <v>10</v>
      </c>
      <c r="E24" s="6">
        <v>15</v>
      </c>
      <c r="H24" s="6"/>
      <c r="I24" s="11" t="s">
        <v>0</v>
      </c>
      <c r="J24" s="11" t="s">
        <v>5</v>
      </c>
      <c r="K24" s="5">
        <f>C24</f>
        <v>20</v>
      </c>
      <c r="L24" s="5">
        <f>D24+E24</f>
        <v>25</v>
      </c>
      <c r="M24" s="5">
        <f>SUM(K24:L24)</f>
        <v>45</v>
      </c>
      <c r="O24" s="6"/>
      <c r="P24" s="11" t="s">
        <v>0</v>
      </c>
      <c r="Q24" s="11" t="s">
        <v>5</v>
      </c>
      <c r="R24" s="5">
        <f>C24/SUM(C$24:C$26)</f>
        <v>0.44444444444444442</v>
      </c>
      <c r="S24" s="5">
        <f t="shared" ref="S24:T28" si="14">D24/SUM(D$24:D$26)</f>
        <v>0.33333333333333331</v>
      </c>
      <c r="T24" s="5">
        <f t="shared" si="14"/>
        <v>0.375</v>
      </c>
    </row>
    <row r="25" spans="1:20" x14ac:dyDescent="0.25">
      <c r="A25" s="11" t="s">
        <v>1</v>
      </c>
      <c r="B25" s="11" t="s">
        <v>5</v>
      </c>
      <c r="C25" s="6">
        <v>20</v>
      </c>
      <c r="D25" s="6">
        <v>15</v>
      </c>
      <c r="E25" s="6">
        <v>0</v>
      </c>
      <c r="H25" s="6"/>
      <c r="I25" s="11" t="s">
        <v>1</v>
      </c>
      <c r="J25" s="11" t="s">
        <v>5</v>
      </c>
      <c r="K25" s="5">
        <f t="shared" ref="K25:K28" si="15">C25</f>
        <v>20</v>
      </c>
      <c r="L25" s="5">
        <f t="shared" ref="L25:L28" si="16">D25+E25</f>
        <v>15</v>
      </c>
      <c r="M25" s="5">
        <f t="shared" ref="M25:M28" si="17">SUM(K25:L25)</f>
        <v>35</v>
      </c>
      <c r="O25" s="6"/>
      <c r="P25" s="11" t="s">
        <v>1</v>
      </c>
      <c r="Q25" s="11" t="s">
        <v>5</v>
      </c>
      <c r="R25" s="5">
        <f t="shared" ref="R25:R28" si="18">C25/SUM(C$24:C$26)</f>
        <v>0.44444444444444442</v>
      </c>
      <c r="S25" s="5">
        <f t="shared" si="14"/>
        <v>0.5</v>
      </c>
      <c r="T25" s="5">
        <f t="shared" si="14"/>
        <v>0</v>
      </c>
    </row>
    <row r="26" spans="1:20" x14ac:dyDescent="0.25">
      <c r="A26" s="11" t="s">
        <v>2</v>
      </c>
      <c r="B26" s="11" t="s">
        <v>5</v>
      </c>
      <c r="C26" s="6">
        <v>5</v>
      </c>
      <c r="D26" s="6">
        <v>5</v>
      </c>
      <c r="E26" s="6">
        <v>25</v>
      </c>
      <c r="I26" s="11" t="s">
        <v>2</v>
      </c>
      <c r="J26" s="11" t="s">
        <v>5</v>
      </c>
      <c r="K26" s="5">
        <f t="shared" si="15"/>
        <v>5</v>
      </c>
      <c r="L26" s="5">
        <f t="shared" si="16"/>
        <v>30</v>
      </c>
      <c r="M26" s="5">
        <f t="shared" si="17"/>
        <v>35</v>
      </c>
      <c r="O26" s="6"/>
      <c r="P26" s="11" t="s">
        <v>2</v>
      </c>
      <c r="Q26" s="11" t="s">
        <v>5</v>
      </c>
      <c r="R26" s="5">
        <f t="shared" si="18"/>
        <v>0.1111111111111111</v>
      </c>
      <c r="S26" s="5">
        <f t="shared" si="14"/>
        <v>0.16666666666666666</v>
      </c>
      <c r="T26" s="5">
        <f t="shared" si="14"/>
        <v>0.625</v>
      </c>
    </row>
    <row r="27" spans="1:20" x14ac:dyDescent="0.25">
      <c r="A27" s="11" t="s">
        <v>3</v>
      </c>
      <c r="B27" s="11" t="s">
        <v>6</v>
      </c>
      <c r="C27" s="6">
        <v>20</v>
      </c>
      <c r="D27" s="6">
        <v>0</v>
      </c>
      <c r="E27" s="6">
        <v>10</v>
      </c>
      <c r="I27" s="11" t="s">
        <v>3</v>
      </c>
      <c r="J27" s="11" t="s">
        <v>6</v>
      </c>
      <c r="K27" s="5">
        <f t="shared" si="15"/>
        <v>20</v>
      </c>
      <c r="L27" s="5">
        <f t="shared" si="16"/>
        <v>10</v>
      </c>
      <c r="M27" s="5">
        <f t="shared" si="17"/>
        <v>30</v>
      </c>
      <c r="O27" s="6"/>
      <c r="P27" s="11" t="s">
        <v>3</v>
      </c>
      <c r="Q27" s="11" t="s">
        <v>6</v>
      </c>
      <c r="R27" s="5">
        <f>C27/SUM(C$27:C$28)</f>
        <v>0.5</v>
      </c>
      <c r="S27" s="5">
        <f t="shared" ref="S27:T28" si="19">D27/SUM(D$27:D$28)</f>
        <v>0</v>
      </c>
      <c r="T27" s="5">
        <f t="shared" si="19"/>
        <v>0.66666666666666663</v>
      </c>
    </row>
    <row r="28" spans="1:20" x14ac:dyDescent="0.25">
      <c r="A28" s="11" t="s">
        <v>4</v>
      </c>
      <c r="B28" s="11" t="s">
        <v>6</v>
      </c>
      <c r="C28" s="6">
        <v>20</v>
      </c>
      <c r="D28" s="6">
        <v>30</v>
      </c>
      <c r="E28" s="6">
        <v>5</v>
      </c>
      <c r="I28" s="11" t="s">
        <v>4</v>
      </c>
      <c r="J28" s="11" t="s">
        <v>6</v>
      </c>
      <c r="K28" s="5">
        <f t="shared" si="15"/>
        <v>20</v>
      </c>
      <c r="L28" s="5">
        <f t="shared" si="16"/>
        <v>35</v>
      </c>
      <c r="M28" s="5">
        <f t="shared" si="17"/>
        <v>55</v>
      </c>
      <c r="O28" s="6"/>
      <c r="P28" s="11" t="s">
        <v>4</v>
      </c>
      <c r="Q28" s="11" t="s">
        <v>6</v>
      </c>
      <c r="R28" s="5">
        <f>C28/SUM(C$27:C$28)</f>
        <v>0.5</v>
      </c>
      <c r="S28" s="5">
        <f t="shared" si="19"/>
        <v>1</v>
      </c>
      <c r="T28" s="5">
        <f t="shared" si="19"/>
        <v>0.33333333333333331</v>
      </c>
    </row>
    <row r="29" spans="1:20" x14ac:dyDescent="0.25">
      <c r="A29" s="6"/>
      <c r="B29" s="6"/>
      <c r="C29" s="6"/>
      <c r="D29" s="6"/>
      <c r="E29" s="6"/>
      <c r="O29" s="6"/>
      <c r="P29" s="6"/>
      <c r="Q29" s="6"/>
    </row>
    <row r="30" spans="1:20" x14ac:dyDescent="0.25">
      <c r="A30" s="6"/>
      <c r="B30" s="6"/>
      <c r="C30" s="6"/>
      <c r="D30" s="6"/>
      <c r="E30" s="6"/>
      <c r="O30" s="6"/>
      <c r="P30" s="6"/>
      <c r="Q30" s="6"/>
    </row>
    <row r="31" spans="1:20" x14ac:dyDescent="0.25">
      <c r="A31" s="7" t="s">
        <v>18</v>
      </c>
      <c r="B31" s="7"/>
      <c r="C31" s="17" t="s">
        <v>10</v>
      </c>
      <c r="D31" s="17" t="s">
        <v>11</v>
      </c>
      <c r="E31" s="17" t="s">
        <v>12</v>
      </c>
      <c r="F31" s="5" t="s">
        <v>16</v>
      </c>
      <c r="G31" s="5" t="s">
        <v>25</v>
      </c>
      <c r="I31" s="7" t="s">
        <v>23</v>
      </c>
      <c r="J31" s="7"/>
      <c r="K31" s="18" t="s">
        <v>10</v>
      </c>
      <c r="L31" s="18" t="s">
        <v>11</v>
      </c>
      <c r="M31" s="5" t="s">
        <v>16</v>
      </c>
      <c r="N31" s="5" t="s">
        <v>25</v>
      </c>
      <c r="O31" s="6"/>
      <c r="P31" s="6"/>
      <c r="Q31" s="6"/>
    </row>
    <row r="32" spans="1:20" x14ac:dyDescent="0.25">
      <c r="A32" s="11" t="s">
        <v>0</v>
      </c>
      <c r="B32" s="11" t="s">
        <v>5</v>
      </c>
      <c r="C32" s="6">
        <f>C16*R24</f>
        <v>51.851851851851848</v>
      </c>
      <c r="D32" s="6">
        <f t="shared" ref="D32:E36" si="20">D16*S24</f>
        <v>7.2222222222222214</v>
      </c>
      <c r="E32" s="6">
        <f t="shared" si="20"/>
        <v>8.125</v>
      </c>
      <c r="F32" s="5">
        <f>SUM(C32:E32)</f>
        <v>67.199074074074076</v>
      </c>
      <c r="G32" s="5">
        <f>F32+F33+F34</f>
        <v>159.99999999999997</v>
      </c>
      <c r="I32" s="11" t="s">
        <v>0</v>
      </c>
      <c r="J32" s="11" t="s">
        <v>5</v>
      </c>
      <c r="K32" s="5">
        <f>C32</f>
        <v>51.851851851851848</v>
      </c>
      <c r="L32" s="5">
        <f>D32+E32</f>
        <v>15.347222222222221</v>
      </c>
      <c r="M32" s="5">
        <f>SUM(K32:L32)</f>
        <v>67.199074074074076</v>
      </c>
      <c r="N32" s="5">
        <f>M32+M33+M34</f>
        <v>159.99999999999997</v>
      </c>
    </row>
    <row r="33" spans="1:14" x14ac:dyDescent="0.25">
      <c r="A33" s="11" t="s">
        <v>1</v>
      </c>
      <c r="B33" s="11" t="s">
        <v>5</v>
      </c>
      <c r="C33" s="6">
        <f t="shared" ref="C33:C36" si="21">C17*R25</f>
        <v>51.851851851851848</v>
      </c>
      <c r="D33" s="6">
        <f t="shared" si="20"/>
        <v>10.833333333333332</v>
      </c>
      <c r="E33" s="6">
        <f t="shared" si="20"/>
        <v>0</v>
      </c>
      <c r="F33" s="5">
        <f t="shared" ref="F33:F36" si="22">SUM(C33:E33)</f>
        <v>62.685185185185176</v>
      </c>
      <c r="I33" s="11" t="s">
        <v>1</v>
      </c>
      <c r="J33" s="11" t="s">
        <v>5</v>
      </c>
      <c r="K33" s="5">
        <f t="shared" ref="K33:K36" si="23">C33</f>
        <v>51.851851851851848</v>
      </c>
      <c r="L33" s="5">
        <f t="shared" ref="L33:L36" si="24">D33+E33</f>
        <v>10.833333333333332</v>
      </c>
      <c r="M33" s="5">
        <f t="shared" ref="M33:M36" si="25">SUM(K33:L33)</f>
        <v>62.685185185185176</v>
      </c>
    </row>
    <row r="34" spans="1:14" x14ac:dyDescent="0.25">
      <c r="A34" s="11" t="s">
        <v>2</v>
      </c>
      <c r="B34" s="11" t="s">
        <v>5</v>
      </c>
      <c r="C34" s="6">
        <f t="shared" si="21"/>
        <v>12.962962962962962</v>
      </c>
      <c r="D34" s="6">
        <f t="shared" si="20"/>
        <v>3.6111111111111107</v>
      </c>
      <c r="E34" s="6">
        <f t="shared" si="20"/>
        <v>13.541666666666664</v>
      </c>
      <c r="F34" s="5">
        <f t="shared" si="22"/>
        <v>30.115740740740737</v>
      </c>
      <c r="I34" s="11" t="s">
        <v>2</v>
      </c>
      <c r="J34" s="11" t="s">
        <v>5</v>
      </c>
      <c r="K34" s="5">
        <f t="shared" si="23"/>
        <v>12.962962962962962</v>
      </c>
      <c r="L34" s="5">
        <f t="shared" si="24"/>
        <v>17.152777777777775</v>
      </c>
      <c r="M34" s="5">
        <f t="shared" si="25"/>
        <v>30.115740740740737</v>
      </c>
    </row>
    <row r="35" spans="1:14" x14ac:dyDescent="0.25">
      <c r="A35" s="11" t="s">
        <v>3</v>
      </c>
      <c r="B35" s="11" t="s">
        <v>6</v>
      </c>
      <c r="C35" s="6">
        <f t="shared" si="21"/>
        <v>46.666666666666664</v>
      </c>
      <c r="D35" s="6">
        <f t="shared" si="20"/>
        <v>0</v>
      </c>
      <c r="E35" s="6">
        <f t="shared" si="20"/>
        <v>18.888888888888886</v>
      </c>
      <c r="F35" s="5">
        <f t="shared" si="22"/>
        <v>65.555555555555543</v>
      </c>
      <c r="G35" s="5">
        <f>F35+F36</f>
        <v>150</v>
      </c>
      <c r="I35" s="11" t="s">
        <v>3</v>
      </c>
      <c r="J35" s="11" t="s">
        <v>6</v>
      </c>
      <c r="K35" s="5">
        <f t="shared" si="23"/>
        <v>46.666666666666664</v>
      </c>
      <c r="L35" s="5">
        <f t="shared" si="24"/>
        <v>18.888888888888886</v>
      </c>
      <c r="M35" s="5">
        <f t="shared" si="25"/>
        <v>65.555555555555543</v>
      </c>
      <c r="N35" s="5">
        <f>M35+M36</f>
        <v>149.99999999999997</v>
      </c>
    </row>
    <row r="36" spans="1:14" x14ac:dyDescent="0.25">
      <c r="A36" s="11" t="s">
        <v>4</v>
      </c>
      <c r="B36" s="11" t="s">
        <v>6</v>
      </c>
      <c r="C36" s="6">
        <f t="shared" si="21"/>
        <v>46.666666666666664</v>
      </c>
      <c r="D36" s="6">
        <f t="shared" si="20"/>
        <v>28.333333333333332</v>
      </c>
      <c r="E36" s="6">
        <f t="shared" si="20"/>
        <v>9.4444444444444429</v>
      </c>
      <c r="F36" s="5">
        <f t="shared" si="22"/>
        <v>84.444444444444443</v>
      </c>
      <c r="I36" s="11" t="s">
        <v>4</v>
      </c>
      <c r="J36" s="11" t="s">
        <v>6</v>
      </c>
      <c r="K36" s="5">
        <f t="shared" si="23"/>
        <v>46.666666666666664</v>
      </c>
      <c r="L36" s="5">
        <f t="shared" si="24"/>
        <v>37.777777777777771</v>
      </c>
      <c r="M36" s="5">
        <f t="shared" si="25"/>
        <v>84.444444444444429</v>
      </c>
    </row>
    <row r="37" spans="1:14" x14ac:dyDescent="0.25">
      <c r="A37" s="6"/>
      <c r="B37" s="6"/>
      <c r="C37" s="6"/>
      <c r="D37" s="6"/>
      <c r="E37" s="6"/>
    </row>
    <row r="38" spans="1:14" x14ac:dyDescent="0.25">
      <c r="A38" s="6"/>
      <c r="B38" s="6"/>
      <c r="C38" s="6"/>
      <c r="D38" s="6"/>
      <c r="E38" s="6"/>
    </row>
    <row r="39" spans="1:14" x14ac:dyDescent="0.25">
      <c r="A39" s="7" t="s">
        <v>20</v>
      </c>
      <c r="B39" s="7"/>
      <c r="C39" s="17" t="s">
        <v>10</v>
      </c>
      <c r="D39" s="17" t="s">
        <v>11</v>
      </c>
      <c r="E39" s="17" t="s">
        <v>12</v>
      </c>
      <c r="I39" s="7" t="s">
        <v>24</v>
      </c>
      <c r="J39" s="7"/>
      <c r="K39" s="18" t="s">
        <v>10</v>
      </c>
      <c r="L39" s="18" t="s">
        <v>11</v>
      </c>
    </row>
    <row r="40" spans="1:14" x14ac:dyDescent="0.25">
      <c r="A40" s="11" t="s">
        <v>0</v>
      </c>
      <c r="B40" s="11" t="s">
        <v>5</v>
      </c>
      <c r="C40" s="6">
        <f>IFERROR(C32/C24, "NA")</f>
        <v>2.5925925925925926</v>
      </c>
      <c r="D40" s="6">
        <f t="shared" ref="D40:E40" si="26">IFERROR(D32/D24, "NA")</f>
        <v>0.7222222222222221</v>
      </c>
      <c r="E40" s="6">
        <f t="shared" si="26"/>
        <v>0.54166666666666663</v>
      </c>
      <c r="I40" s="11" t="s">
        <v>0</v>
      </c>
      <c r="J40" s="11" t="s">
        <v>5</v>
      </c>
      <c r="K40" s="5">
        <f>IFERROR(K32/K24, "NA")</f>
        <v>2.5925925925925926</v>
      </c>
      <c r="L40" s="5">
        <f>IFERROR(L32/L24, "NA")</f>
        <v>0.61388888888888882</v>
      </c>
    </row>
    <row r="41" spans="1:14" x14ac:dyDescent="0.25">
      <c r="A41" s="11" t="s">
        <v>1</v>
      </c>
      <c r="B41" s="11" t="s">
        <v>5</v>
      </c>
      <c r="C41" s="6">
        <f t="shared" ref="C41:E44" si="27">IFERROR(C33/C25, "NA")</f>
        <v>2.5925925925925926</v>
      </c>
      <c r="D41" s="6">
        <f t="shared" si="27"/>
        <v>0.7222222222222221</v>
      </c>
      <c r="E41" s="6" t="str">
        <f t="shared" si="27"/>
        <v>NA</v>
      </c>
      <c r="I41" s="11" t="s">
        <v>1</v>
      </c>
      <c r="J41" s="11" t="s">
        <v>5</v>
      </c>
      <c r="K41" s="5">
        <f t="shared" ref="K41:L44" si="28">IFERROR(K33/K25, "NA")</f>
        <v>2.5925925925925926</v>
      </c>
      <c r="L41" s="5">
        <f t="shared" si="28"/>
        <v>0.7222222222222221</v>
      </c>
    </row>
    <row r="42" spans="1:14" x14ac:dyDescent="0.25">
      <c r="A42" s="11" t="s">
        <v>2</v>
      </c>
      <c r="B42" s="11" t="s">
        <v>5</v>
      </c>
      <c r="C42" s="6">
        <f t="shared" si="27"/>
        <v>2.5925925925925926</v>
      </c>
      <c r="D42" s="6">
        <f t="shared" si="27"/>
        <v>0.7222222222222221</v>
      </c>
      <c r="E42" s="6">
        <f t="shared" si="27"/>
        <v>0.54166666666666652</v>
      </c>
      <c r="I42" s="11" t="s">
        <v>2</v>
      </c>
      <c r="J42" s="11" t="s">
        <v>5</v>
      </c>
      <c r="K42" s="5">
        <f t="shared" si="28"/>
        <v>2.5925925925925926</v>
      </c>
      <c r="L42" s="5">
        <f t="shared" si="28"/>
        <v>0.57175925925925919</v>
      </c>
    </row>
    <row r="43" spans="1:14" x14ac:dyDescent="0.25">
      <c r="A43" s="11" t="s">
        <v>3</v>
      </c>
      <c r="B43" s="11" t="s">
        <v>6</v>
      </c>
      <c r="C43" s="6">
        <f t="shared" si="27"/>
        <v>2.333333333333333</v>
      </c>
      <c r="D43" s="6" t="str">
        <f t="shared" si="27"/>
        <v>NA</v>
      </c>
      <c r="E43" s="6">
        <f t="shared" si="27"/>
        <v>1.8888888888888886</v>
      </c>
      <c r="I43" s="11" t="s">
        <v>3</v>
      </c>
      <c r="J43" s="11" t="s">
        <v>6</v>
      </c>
      <c r="K43" s="5">
        <f t="shared" si="28"/>
        <v>2.333333333333333</v>
      </c>
      <c r="L43" s="5">
        <f t="shared" si="28"/>
        <v>1.8888888888888886</v>
      </c>
    </row>
    <row r="44" spans="1:14" x14ac:dyDescent="0.25">
      <c r="A44" s="11" t="s">
        <v>4</v>
      </c>
      <c r="B44" s="11" t="s">
        <v>6</v>
      </c>
      <c r="C44" s="6">
        <f t="shared" si="27"/>
        <v>2.333333333333333</v>
      </c>
      <c r="D44" s="6">
        <f t="shared" si="27"/>
        <v>0.94444444444444442</v>
      </c>
      <c r="E44" s="6">
        <f t="shared" si="27"/>
        <v>1.8888888888888886</v>
      </c>
      <c r="I44" s="11" t="s">
        <v>4</v>
      </c>
      <c r="J44" s="11" t="s">
        <v>6</v>
      </c>
      <c r="K44" s="5">
        <f t="shared" si="28"/>
        <v>2.333333333333333</v>
      </c>
      <c r="L44" s="5">
        <f t="shared" si="28"/>
        <v>1.0793650793650791</v>
      </c>
    </row>
    <row r="45" spans="1:14" x14ac:dyDescent="0.25">
      <c r="A45" s="6"/>
      <c r="B45" s="6"/>
      <c r="C45" s="6"/>
      <c r="D45" s="6"/>
      <c r="E45" s="6"/>
    </row>
    <row r="46" spans="1:14" x14ac:dyDescent="0.25">
      <c r="A46" s="7" t="s">
        <v>19</v>
      </c>
      <c r="B46" s="7"/>
      <c r="C46" s="6">
        <f>AVERAGE(C40:C44)</f>
        <v>2.4888888888888885</v>
      </c>
      <c r="D46" s="6">
        <f t="shared" ref="D46:E46" si="29">AVERAGE(D40:D44)</f>
        <v>0.77777777777777768</v>
      </c>
      <c r="E46" s="6">
        <f t="shared" si="29"/>
        <v>1.2152777777777775</v>
      </c>
      <c r="I46" s="19" t="s">
        <v>19</v>
      </c>
      <c r="J46" s="19"/>
      <c r="K46" s="5">
        <f>AVERAGE(K40:K44)</f>
        <v>2.4888888888888885</v>
      </c>
      <c r="L46" s="5">
        <f t="shared" ref="L46" si="30">AVERAGE(L40:L44)</f>
        <v>0.97522486772486749</v>
      </c>
    </row>
    <row r="47" spans="1:14" x14ac:dyDescent="0.25">
      <c r="A47" s="6"/>
      <c r="B47" s="6"/>
      <c r="C47" s="6"/>
      <c r="D47" s="6"/>
      <c r="E47" s="6"/>
    </row>
    <row r="48" spans="1:14" x14ac:dyDescent="0.25">
      <c r="A48" s="6"/>
      <c r="B48" s="6"/>
      <c r="C48" s="6"/>
      <c r="D48" s="6"/>
      <c r="E48" s="6"/>
    </row>
    <row r="49" spans="1:5" x14ac:dyDescent="0.25">
      <c r="A49" s="6"/>
      <c r="B49" s="6"/>
      <c r="C49" s="6"/>
      <c r="D49" s="6"/>
      <c r="E49" s="6"/>
    </row>
    <row r="50" spans="1:5" x14ac:dyDescent="0.25">
      <c r="A50" s="6"/>
      <c r="B50" s="6"/>
      <c r="C50" s="6"/>
      <c r="D50" s="6"/>
      <c r="E50" s="6"/>
    </row>
    <row r="51" spans="1:5" x14ac:dyDescent="0.25">
      <c r="A51" s="6"/>
      <c r="B51" s="6"/>
      <c r="C51" s="6"/>
      <c r="D51" s="6"/>
      <c r="E51" s="6"/>
    </row>
    <row r="52" spans="1:5" x14ac:dyDescent="0.25">
      <c r="A52" s="6"/>
      <c r="B52" s="6"/>
      <c r="C52" s="6"/>
      <c r="D52" s="6"/>
      <c r="E52" s="6"/>
    </row>
  </sheetData>
  <mergeCells count="21">
    <mergeCell ref="P23:Q23"/>
    <mergeCell ref="P1:Q1"/>
    <mergeCell ref="P9:Q9"/>
    <mergeCell ref="P10:Q10"/>
    <mergeCell ref="P11:Q11"/>
    <mergeCell ref="P12:Q12"/>
    <mergeCell ref="I15:J15"/>
    <mergeCell ref="I23:J23"/>
    <mergeCell ref="I31:J31"/>
    <mergeCell ref="I39:J39"/>
    <mergeCell ref="I46:J46"/>
    <mergeCell ref="A15:B15"/>
    <mergeCell ref="A23:B23"/>
    <mergeCell ref="A31:B31"/>
    <mergeCell ref="A39:B39"/>
    <mergeCell ref="A46:B46"/>
    <mergeCell ref="A1:B1"/>
    <mergeCell ref="A9:B9"/>
    <mergeCell ref="A10:B10"/>
    <mergeCell ref="A11:B11"/>
    <mergeCell ref="A12:B1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Weiper, M.L.V. (Maike)</dc:creator>
  <cp:lastModifiedBy>Weiper, M.L.V. (Maike)</cp:lastModifiedBy>
  <dcterms:created xsi:type="dcterms:W3CDTF">2025-11-27T09:02:22Z</dcterms:created>
  <dcterms:modified xsi:type="dcterms:W3CDTF">2025-11-27T09:26:36Z</dcterms:modified>
</cp:coreProperties>
</file>